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il\Desktop\Interviews\OpenAI\Take_Home\data\results\output_files\"/>
    </mc:Choice>
  </mc:AlternateContent>
  <xr:revisionPtr revIDLastSave="0" documentId="13_ncr:1_{56FF2A39-EA45-4E2D-8EC8-171855A7E0CD}" xr6:coauthVersionLast="47" xr6:coauthVersionMax="47" xr10:uidLastSave="{00000000-0000-0000-0000-000000000000}"/>
  <bookViews>
    <workbookView xWindow="-93" yWindow="-93" windowWidth="25786" windowHeight="13866" xr2:uid="{6E97B683-05CE-476D-86F3-9EFC9F42D5A9}"/>
  </bookViews>
  <sheets>
    <sheet name="final_master_report" sheetId="1" r:id="rId1"/>
    <sheet name="para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8" i="1" l="1"/>
  <c r="Y17" i="1"/>
  <c r="Y16" i="1"/>
  <c r="Y12" i="1"/>
  <c r="Y11" i="1"/>
  <c r="Y10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2" i="1"/>
  <c r="Y6" i="1" s="1"/>
  <c r="Y5" i="1"/>
</calcChain>
</file>

<file path=xl/sharedStrings.xml><?xml version="1.0" encoding="utf-8"?>
<sst xmlns="http://schemas.openxmlformats.org/spreadsheetml/2006/main" count="499" uniqueCount="487">
  <si>
    <t>json_name</t>
  </si>
  <si>
    <t>guardrail_score</t>
  </si>
  <si>
    <t>safety_score</t>
  </si>
  <si>
    <t>is_food</t>
  </si>
  <si>
    <t>macros_score</t>
  </si>
  <si>
    <t>ingredients_score</t>
  </si>
  <si>
    <t>recommendation_score</t>
  </si>
  <si>
    <t>guardrail_input_tokens</t>
  </si>
  <si>
    <t>guardrail_output_tokens</t>
  </si>
  <si>
    <t>guardrail_latency</t>
  </si>
  <si>
    <t>inference_input_tokens</t>
  </si>
  <si>
    <t>inference_output_tokens</t>
  </si>
  <si>
    <t>inference_latency</t>
  </si>
  <si>
    <t>safetychecks_input_tokens</t>
  </si>
  <si>
    <t>safetychecks_output_tokens</t>
  </si>
  <si>
    <t>safetychecks_latency</t>
  </si>
  <si>
    <t>Guidance_Quality</t>
  </si>
  <si>
    <t>Description_Quality</t>
  </si>
  <si>
    <t>Meal Title Quality</t>
  </si>
  <si>
    <t>meal_analysis_score</t>
  </si>
  <si>
    <t>Final_Score</t>
  </si>
  <si>
    <t>upload_1749840444495_ce8fbfbc-988e-4ee6-9e52-d7ebdf4a58bc.jpeg</t>
  </si>
  <si>
    <t>15.873015873015884</t>
  </si>
  <si>
    <t>66.66666666666666</t>
  </si>
  <si>
    <t>1262.8335000000002</t>
  </si>
  <si>
    <t>86.25396825396825</t>
  </si>
  <si>
    <t>93.12698412698413</t>
  </si>
  <si>
    <t>upload_1749840712880_d8cedf37-9bdb-4ff5-8e21-6a6a740ae409.jpeg</t>
  </si>
  <si>
    <t>72.38095238095238</t>
  </si>
  <si>
    <t>33.33333333333333</t>
  </si>
  <si>
    <t>1015.9561000000004</t>
  </si>
  <si>
    <t>1238.4368000000006</t>
  </si>
  <si>
    <t>32.57142857142857</t>
  </si>
  <si>
    <t>66.28571428571428</t>
  </si>
  <si>
    <t>upload_1749840740344_7e95ee66-1e26-4892-9ce4-b79960061c19.jpeg</t>
  </si>
  <si>
    <t>24.236111111111104</t>
  </si>
  <si>
    <t>1390.5034999999991</t>
  </si>
  <si>
    <t>3260.8150999999984</t>
  </si>
  <si>
    <t>1236.2683000000025</t>
  </si>
  <si>
    <t>70.42361111111111</t>
  </si>
  <si>
    <t>55.21180555555556</t>
  </si>
  <si>
    <t>upload_1749841037102_96ccbf66-4c05-45dc-8920-fd6ef54fcd0d.jpeg</t>
  </si>
  <si>
    <t>57.871517027863774</t>
  </si>
  <si>
    <t>1168.465399999999</t>
  </si>
  <si>
    <t>1089.4385999999977</t>
  </si>
  <si>
    <t>31.787151702786378</t>
  </si>
  <si>
    <t>35.89357585139319</t>
  </si>
  <si>
    <t>upload_1749841435404_d2ac9183-048d-4cec-9b9b-a878628e4b30.jpeg</t>
  </si>
  <si>
    <t>53.61111111111111</t>
  </si>
  <si>
    <t>958.1042000000012</t>
  </si>
  <si>
    <t>3274.136600000002</t>
  </si>
  <si>
    <t>1039.5339999999997</t>
  </si>
  <si>
    <t>83.36111111111111</t>
  </si>
  <si>
    <t>91.68055555555556</t>
  </si>
  <si>
    <t>upload_1749841861682_5e0c8e9d-bcff-4db4-bd59-62aa98119dec.jpeg</t>
  </si>
  <si>
    <t>4.722222222222216</t>
  </si>
  <si>
    <t>838.3691000000049</t>
  </si>
  <si>
    <t>3773.7162000000026</t>
  </si>
  <si>
    <t>1298.6450000000004</t>
  </si>
  <si>
    <t>72.97222222222223</t>
  </si>
  <si>
    <t>86.48611111111111</t>
  </si>
  <si>
    <t>upload_1749843287038_40cbba8a-21fa-447a-88ce-54e9d8f8708a.jpeg</t>
  </si>
  <si>
    <t>70.83333333333334</t>
  </si>
  <si>
    <t>1024.5943000000038</t>
  </si>
  <si>
    <t>6074.415200000004</t>
  </si>
  <si>
    <t>1100.457200000001</t>
  </si>
  <si>
    <t>35.083333333333336</t>
  </si>
  <si>
    <t>37.54166666666667</t>
  </si>
  <si>
    <t>upload_1749843713632_58c8331c-7aec-4895-a51b-cb92988cade5.jpeg</t>
  </si>
  <si>
    <t>1027.302000000006</t>
  </si>
  <si>
    <t>960.2362999999982</t>
  </si>
  <si>
    <t>upload_1749850518596_ae5c6336-732a-432f-a1c1-a64db860a708.jpeg</t>
  </si>
  <si>
    <t>36.43724696356275</t>
  </si>
  <si>
    <t>885.4317000000051</t>
  </si>
  <si>
    <t>3617.6403999999993</t>
  </si>
  <si>
    <t>1112.7910999999954</t>
  </si>
  <si>
    <t>79.64372469635627</t>
  </si>
  <si>
    <t>89.82186234817814</t>
  </si>
  <si>
    <t>upload_1749865296179_d1a4da8d-8804-480e-b835-072f845e11f8.jpeg</t>
  </si>
  <si>
    <t>1059.984700000001</t>
  </si>
  <si>
    <t>3205.9149000000034</t>
  </si>
  <si>
    <t>1027.4689000000023</t>
  </si>
  <si>
    <t>85.01795814479638</t>
  </si>
  <si>
    <t>92.50897907239819</t>
  </si>
  <si>
    <t>upload_1749869835174_55f1390a-6ea3-4033-a016-b8a4c30d28a1.jpeg</t>
  </si>
  <si>
    <t>83.81601037851038</t>
  </si>
  <si>
    <t>1041.0223999999955</t>
  </si>
  <si>
    <t>3895.270699999997</t>
  </si>
  <si>
    <t>1359.086099999999</t>
  </si>
  <si>
    <t>37.38160103785104</t>
  </si>
  <si>
    <t>38.69080051892552</t>
  </si>
  <si>
    <t>upload_1749872693154_5d23dac1-9118-4776-ad69-9853f8e513fa.jpeg</t>
  </si>
  <si>
    <t>76.52695988222304</t>
  </si>
  <si>
    <t>16.666666666666664</t>
  </si>
  <si>
    <t>1330.5229000000054</t>
  </si>
  <si>
    <t>29.31936265488897</t>
  </si>
  <si>
    <t>34.65968132744449</t>
  </si>
  <si>
    <t>upload_1749875264239_2a7fbe6a-e779-46e6-ac22-82d88a66ea3c.jpeg</t>
  </si>
  <si>
    <t>59.68181818181818</t>
  </si>
  <si>
    <t>1299.7697999999928</t>
  </si>
  <si>
    <t>4154.293700000011</t>
  </si>
  <si>
    <t>1213.7802999999965</t>
  </si>
  <si>
    <t>69.96818181818182</t>
  </si>
  <si>
    <t>54.98409090909091</t>
  </si>
  <si>
    <t>upload_1750038317524_55c71fd4-30e1-4e8b-93f8-86e6094f31b3.jpeg</t>
  </si>
  <si>
    <t>60.110864745011085</t>
  </si>
  <si>
    <t>1337.938600000001</t>
  </si>
  <si>
    <t>4239.872800000001</t>
  </si>
  <si>
    <t>2475.4886000000056</t>
  </si>
  <si>
    <t>86.01108647450111</t>
  </si>
  <si>
    <t>93.00554323725055</t>
  </si>
  <si>
    <t>upload_1750038497319_6a3082e9-034c-4015-9eeb-9545000073c9.jpeg</t>
  </si>
  <si>
    <t>64.68267882187938</t>
  </si>
  <si>
    <t>1262.859199999994</t>
  </si>
  <si>
    <t>3496.920500000001</t>
  </si>
  <si>
    <t>1200.7976000000012</t>
  </si>
  <si>
    <t>32.46826788218794</t>
  </si>
  <si>
    <t>36.23413394109397</t>
  </si>
  <si>
    <t>upload_1750091798026_6bfd2714-28cc-4f8e-9df2-8ceb92a5a071.jpeg</t>
  </si>
  <si>
    <t>887.3861999999946</t>
  </si>
  <si>
    <t>3172.2500999999997</t>
  </si>
  <si>
    <t>80.66666666666667</t>
  </si>
  <si>
    <t>90.33333333333334</t>
  </si>
  <si>
    <t>upload_1750097681033_c71afe76-f144-4a19-9dd3-19a1178957f4.jpeg</t>
  </si>
  <si>
    <t>99.16666666666669</t>
  </si>
  <si>
    <t>1035.1708999999971</t>
  </si>
  <si>
    <t>3100.355399999998</t>
  </si>
  <si>
    <t>1033.1005000000032</t>
  </si>
  <si>
    <t>35.91666666666667</t>
  </si>
  <si>
    <t>67.95833333333334</t>
  </si>
  <si>
    <t>upload_1750097765140_1dccfd72-61d7-462c-b163-f5b7c348b547.jpeg</t>
  </si>
  <si>
    <t>85.45787545787546</t>
  </si>
  <si>
    <t>1072.3951000000084</t>
  </si>
  <si>
    <t>3864.642799999999</t>
  </si>
  <si>
    <t>1068.310600000004</t>
  </si>
  <si>
    <t>32.54578754578755</t>
  </si>
  <si>
    <t>66.27289377289378</t>
  </si>
  <si>
    <t>upload_1750097815654_0a961795-6af4-447c-a0a5-71f98ea66240.jpeg</t>
  </si>
  <si>
    <t>936.6196000000002</t>
  </si>
  <si>
    <t>2849.8019000000027</t>
  </si>
  <si>
    <t>1003.1869999999968</t>
  </si>
  <si>
    <t>upload_1750097849597_00cf91d6-e95f-4880-b120-76efe150b1b8.jpeg</t>
  </si>
  <si>
    <t>1054.5790000000038</t>
  </si>
  <si>
    <t>3199.4837000000016</t>
  </si>
  <si>
    <t>1203.8551999999925</t>
  </si>
  <si>
    <t>upload_1750097945898_eefbeb4b-8dda-4ced-a7df-7e653d5c471b.jpeg</t>
  </si>
  <si>
    <t>874.5780999999937</t>
  </si>
  <si>
    <t>2688.406900000004</t>
  </si>
  <si>
    <t>991.5117000000038</t>
  </si>
  <si>
    <t>94.03760162601625</t>
  </si>
  <si>
    <t>67.01880081300813</t>
  </si>
  <si>
    <t>upload_1750100382667_e5dd5b7c-5a38-4304-b3a7-d8209c5d59a2.jpeg</t>
  </si>
  <si>
    <t>60.40646853146854</t>
  </si>
  <si>
    <t>874.2653999999987</t>
  </si>
  <si>
    <t>4483.795699999988</t>
  </si>
  <si>
    <t>1318.3389000000147</t>
  </si>
  <si>
    <t>24.040646853146853</t>
  </si>
  <si>
    <t>32.02032342657343</t>
  </si>
  <si>
    <t>upload_1750176632186_7794b8b1-1eec-489d-a7d2-8ff1d8e94e22.jpeg</t>
  </si>
  <si>
    <t>74.35733384262797</t>
  </si>
  <si>
    <t>1194.945500000017</t>
  </si>
  <si>
    <t>3800.024799999988</t>
  </si>
  <si>
    <t>1371.3539999999966</t>
  </si>
  <si>
    <t>27.435733384262797</t>
  </si>
  <si>
    <t>33.717866692131395</t>
  </si>
  <si>
    <t>upload_1750180230407_6e49bf45-0e0b-4817-9cb1-2f8e10df6977.jpeg</t>
  </si>
  <si>
    <t>1391.790599999979</t>
  </si>
  <si>
    <t>938.3674999999982</t>
  </si>
  <si>
    <t>upload_1750180679848_2b308ff1-fe70-46bb-b6a4-e1ef01c9d181.jpeg</t>
  </si>
  <si>
    <t>80.42929292929293</t>
  </si>
  <si>
    <t>963.1722999999964</t>
  </si>
  <si>
    <t>4030.8333999999777</t>
  </si>
  <si>
    <t>1030.7124999999928</t>
  </si>
  <si>
    <t>32.042929292929294</t>
  </si>
  <si>
    <t>66.02146464646465</t>
  </si>
  <si>
    <t>upload_1750180959631_d9fa7e84-e4ef-4c30-8388-142ae1861f79.jpeg</t>
  </si>
  <si>
    <t>1072.326299999986</t>
  </si>
  <si>
    <t>1024.7405000000072</t>
  </si>
  <si>
    <t>upload_1750182735800_604d3797-d9eb-436f-997f-1d202a9bbcb4.jpeg</t>
  </si>
  <si>
    <t>42.85714285714285</t>
  </si>
  <si>
    <t>892.7985999999919</t>
  </si>
  <si>
    <t>5000.495699999988</t>
  </si>
  <si>
    <t>1277.3554999999988</t>
  </si>
  <si>
    <t>82.28571428571428</t>
  </si>
  <si>
    <t>91.14285714285714</t>
  </si>
  <si>
    <t>upload_1750182831517_fa06a30c-cffc-40b8-9ac3-abc35e1d1635.jpeg</t>
  </si>
  <si>
    <t>67.87280701754386</t>
  </si>
  <si>
    <t>4614.241300000003</t>
  </si>
  <si>
    <t>1080.161199999992</t>
  </si>
  <si>
    <t>32.78728070175438</t>
  </si>
  <si>
    <t>36.39364035087719</t>
  </si>
  <si>
    <t>upload_1750184236286_fe8af98c-e6e5-4246-8ab1-0ca74e1de489.jpeg</t>
  </si>
  <si>
    <t>84.31006493506493</t>
  </si>
  <si>
    <t>853.9449000000161</t>
  </si>
  <si>
    <t>3501.0741000000107</t>
  </si>
  <si>
    <t>1150.1730999999893</t>
  </si>
  <si>
    <t>90.43100649350649</t>
  </si>
  <si>
    <t>65.21550324675324</t>
  </si>
  <si>
    <t>upload_1750184275147_d931eee9-5024-4f89-94e5-64dc9a094c5a.jpeg</t>
  </si>
  <si>
    <t>46.77579365079365</t>
  </si>
  <si>
    <t>893.8531000000012</t>
  </si>
  <si>
    <t>4248.663399999998</t>
  </si>
  <si>
    <t>974.4982999999934</t>
  </si>
  <si>
    <t>26.34424603174603</t>
  </si>
  <si>
    <t>33.17212301587301</t>
  </si>
  <si>
    <t>upload_1750184400484_91309b18-e132-459d-8b77-58d388eb7c92.jpeg</t>
  </si>
  <si>
    <t>48.21428571428572</t>
  </si>
  <si>
    <t>978.7433999999848</t>
  </si>
  <si>
    <t>2880.037999999985</t>
  </si>
  <si>
    <t>1116.9770999999855</t>
  </si>
  <si>
    <t>30.821428571428573</t>
  </si>
  <si>
    <t>65.41071428571428</t>
  </si>
  <si>
    <t>upload_1750184519401_0a00994e-1755-4b0c-993b-3fce1d692ca1.jpeg</t>
  </si>
  <si>
    <t>85.98214285714285</t>
  </si>
  <si>
    <t>1244.9260999999865</t>
  </si>
  <si>
    <t>3221.252600000014</t>
  </si>
  <si>
    <t>1756.9785000000024</t>
  </si>
  <si>
    <t>20.598214285714285</t>
  </si>
  <si>
    <t>60.29910714285714</t>
  </si>
  <si>
    <t>upload_1750184967001_dcbf0de0-d8c9-473a-96c8-b568b7b5b6ea.jpeg</t>
  </si>
  <si>
    <t>98.86363636363636</t>
  </si>
  <si>
    <t>937.5309000000128</t>
  </si>
  <si>
    <t>2496.568599999989</t>
  </si>
  <si>
    <t>1055.0117999999884</t>
  </si>
  <si>
    <t>92.88636363636364</t>
  </si>
  <si>
    <t>96.44318181818181</t>
  </si>
  <si>
    <t>upload_1750185016838_9f1b1b2d-edab-473c-8a09-a7ade40c25a4.jpeg</t>
  </si>
  <si>
    <t>77.23894463024898</t>
  </si>
  <si>
    <t>902.5088999999866</t>
  </si>
  <si>
    <t>3537.3246000000054</t>
  </si>
  <si>
    <t>1076.635699999997</t>
  </si>
  <si>
    <t>35.39056112969156</t>
  </si>
  <si>
    <t>67.69528056484577</t>
  </si>
  <si>
    <t>upload_1750185057801_517dd09d-f8aa-4e48-93d1-820958817b61.jpeg</t>
  </si>
  <si>
    <t>58.333333333333336</t>
  </si>
  <si>
    <t>863.6711000000048</t>
  </si>
  <si>
    <t>2321.7026000000087</t>
  </si>
  <si>
    <t>87.83333333333334</t>
  </si>
  <si>
    <t>93.91666666666667</t>
  </si>
  <si>
    <t>upload_1750258584589_12758bd6-3c31-4ee6-bc2a-564be686406a.jpeg</t>
  </si>
  <si>
    <t>54.885912698412696</t>
  </si>
  <si>
    <t>942.4722999999916</t>
  </si>
  <si>
    <t>3846.037999999993</t>
  </si>
  <si>
    <t>998.2696999999804</t>
  </si>
  <si>
    <t>75.48859126984127</t>
  </si>
  <si>
    <t>87.74429563492063</t>
  </si>
  <si>
    <t>upload_1750262216722_694c7c7e-8827-45c3-af60-5558775251dd.jpeg</t>
  </si>
  <si>
    <t>63.69047619047619</t>
  </si>
  <si>
    <t>884.9509000000069</t>
  </si>
  <si>
    <t>3092.837500000001</t>
  </si>
  <si>
    <t>1168.4153999999864</t>
  </si>
  <si>
    <t>86.86904761904762</t>
  </si>
  <si>
    <t>63.43452380952381</t>
  </si>
  <si>
    <t>upload_1750263222856_8d684828-73ea-4ad9-9259-39c31e29f465.jpeg</t>
  </si>
  <si>
    <t>89.18789543789543</t>
  </si>
  <si>
    <t>913.1421999999816</t>
  </si>
  <si>
    <t>5040.726000000006</t>
  </si>
  <si>
    <t>1185.2294999999913</t>
  </si>
  <si>
    <t>80.91878954378954</t>
  </si>
  <si>
    <t>60.45939477189477</t>
  </si>
  <si>
    <t>upload_1750386301376_71400aa0-7658-40cd-9027-9a62f8489da7.jpeg</t>
  </si>
  <si>
    <t>28.57142857142857</t>
  </si>
  <si>
    <t>1114.8477000000128</t>
  </si>
  <si>
    <t>3956.413300000008</t>
  </si>
  <si>
    <t>1036.4008999999896</t>
  </si>
  <si>
    <t>76.85714285714286</t>
  </si>
  <si>
    <t>88.42857142857143</t>
  </si>
  <si>
    <t>upload_1750389951709_09f3f23e-5f56-4581-866f-37234067ea72.jpeg</t>
  </si>
  <si>
    <t>66.66666666666667</t>
  </si>
  <si>
    <t>1214.3717999999808</t>
  </si>
  <si>
    <t>2621.027999999996</t>
  </si>
  <si>
    <t>1197.1549000000152</t>
  </si>
  <si>
    <t>86.66666666666667</t>
  </si>
  <si>
    <t>93.33333333333334</t>
  </si>
  <si>
    <t>upload_1750709492155_4ebddef6-d4df-46cd-9649-4a335bdbef6b.jpeg</t>
  </si>
  <si>
    <t>1172.8477999999996</t>
  </si>
  <si>
    <t>2906.567500000023</t>
  </si>
  <si>
    <t>1073.0110000000082</t>
  </si>
  <si>
    <t>37.91666666666667</t>
  </si>
  <si>
    <t>68.95833333333334</t>
  </si>
  <si>
    <t>upload_1750709512018_7cb970d1-5843-42fe-9f82-10279f27a01a.jpeg</t>
  </si>
  <si>
    <t>908.0968000000098</t>
  </si>
  <si>
    <t>2404.014100000012</t>
  </si>
  <si>
    <t>983.3961000000216</t>
  </si>
  <si>
    <t>upload_1752265287016_4c47aab8-77a8-42e6-a937-2a4b5be3c7d8.jpeg</t>
  </si>
  <si>
    <t>73.34866011181799</t>
  </si>
  <si>
    <t>920.2968999999824</t>
  </si>
  <si>
    <t>3418.6392999999957</t>
  </si>
  <si>
    <t>966.1902999999938</t>
  </si>
  <si>
    <t>95.66743300559091</t>
  </si>
  <si>
    <t>upload_1752265511713_bc7c0828-8da5-4880-bd18-4f7ad8a3b18d.jpeg</t>
  </si>
  <si>
    <t>78.88480392156862</t>
  </si>
  <si>
    <t>1000.4779999999868</t>
  </si>
  <si>
    <t>35.55514705882353</t>
  </si>
  <si>
    <t>67.77757352941177</t>
  </si>
  <si>
    <t>upload_1752265789773_34d75fc4-0e04-488f-b3f3-d88ffb030604.jpeg</t>
  </si>
  <si>
    <t>869.4075999999882</t>
  </si>
  <si>
    <t>2401.036099999999</t>
  </si>
  <si>
    <t>1123.5434999999825</t>
  </si>
  <si>
    <t>upload_1752265818634_e1c146f8-2cbf-4033-ac9f-9b4869fd1d4f.jpeg</t>
  </si>
  <si>
    <t>60.07326007326008</t>
  </si>
  <si>
    <t>965.8960999999522</t>
  </si>
  <si>
    <t>2597.466899999972</t>
  </si>
  <si>
    <t>1034.740800000009</t>
  </si>
  <si>
    <t>80.00732600732601</t>
  </si>
  <si>
    <t>90.00366300366301</t>
  </si>
  <si>
    <t>upload_1752265866541_68a737f3-abd3-461c-9b6b-85cb1dfc31c7.jpeg</t>
  </si>
  <si>
    <t>1243.3224999999766</t>
  </si>
  <si>
    <t>2583.193999999992</t>
  </si>
  <si>
    <t>1393.456800000024</t>
  </si>
  <si>
    <t>85.66161616161617</t>
  </si>
  <si>
    <t>62.83080808080808</t>
  </si>
  <si>
    <t>upload_1752265899911_dcb7943d-bbe6-4f7c-9c86-2b162eb3f61d.jpeg</t>
  </si>
  <si>
    <t>14.285714285714285</t>
  </si>
  <si>
    <t>911.2775999999484</t>
  </si>
  <si>
    <t>4324.314799999967</t>
  </si>
  <si>
    <t>1058.2400999999777</t>
  </si>
  <si>
    <t>77.42857142857143</t>
  </si>
  <si>
    <t>58.714285714285715</t>
  </si>
  <si>
    <t>upload_1753052864483_2e9f35f0-e28e-4cb0-9e0e-161c00ce4e6d.jpeg</t>
  </si>
  <si>
    <t>21.23015873015872</t>
  </si>
  <si>
    <t>942.8512999999724</t>
  </si>
  <si>
    <t>3300.9157999999843</t>
  </si>
  <si>
    <t>1120.5477000000317</t>
  </si>
  <si>
    <t>10.123015873015872</t>
  </si>
  <si>
    <t>25.061507936507937</t>
  </si>
  <si>
    <t>upload_1753053053316_3dad93e8-c0b5-4fb7-8155-80469e473fe9.jpeg</t>
  </si>
  <si>
    <t>926.9277000000216</t>
  </si>
  <si>
    <t>3203.6251000000107</t>
  </si>
  <si>
    <t>1003.3455000000232</t>
  </si>
  <si>
    <t>86.50304383116882</t>
  </si>
  <si>
    <t>93.25152191558442</t>
  </si>
  <si>
    <t>upload_1753053088887_e0087c65-7b21-4e50-9878-19401e3fbe93.jpeg</t>
  </si>
  <si>
    <t>89.61437908496733</t>
  </si>
  <si>
    <t>4757.639799999993</t>
  </si>
  <si>
    <t>1358.9133000000402</t>
  </si>
  <si>
    <t>84.96143790849673</t>
  </si>
  <si>
    <t>62.48071895424837</t>
  </si>
  <si>
    <t>upload_1753053107804_3f319949-c893-46d1-b54e-378b675e43f8.jpeg</t>
  </si>
  <si>
    <t>83.18452380952381</t>
  </si>
  <si>
    <t>1034.640400000001</t>
  </si>
  <si>
    <t>2713.538999999969</t>
  </si>
  <si>
    <t>1012.1027999999797</t>
  </si>
  <si>
    <t>88.31845238095238</t>
  </si>
  <si>
    <t>64.15922619047619</t>
  </si>
  <si>
    <t>upload_1753053145042_b9a83e6d-33f1-46f0-a73f-cd7f73e5c3c0.jpeg</t>
  </si>
  <si>
    <t>1337.606600000015</t>
  </si>
  <si>
    <t>2471.141999999986</t>
  </si>
  <si>
    <t>1050.7726000000162</t>
  </si>
  <si>
    <t>upload_1753053184717_40b4257a-d26b-4f61-a684-e939291e0d99.jpeg</t>
  </si>
  <si>
    <t>1349.4832000000088</t>
  </si>
  <si>
    <t>2404.0901999999846</t>
  </si>
  <si>
    <t>1170.0208999999973</t>
  </si>
  <si>
    <t>upload_1753053217022_73c60e40-9950-4c69-8625-9eb92923f379.jpeg</t>
  </si>
  <si>
    <t>77.77217741935483</t>
  </si>
  <si>
    <t>1488.041600000031</t>
  </si>
  <si>
    <t>2097.053799999969</t>
  </si>
  <si>
    <t>1054.2189999999891</t>
  </si>
  <si>
    <t>79.77721774193549</t>
  </si>
  <si>
    <t>59.888608870967744</t>
  </si>
  <si>
    <t>upload_1753053277090_02101e96-ba76-4f39-8980-65db616ad82f.jpeg</t>
  </si>
  <si>
    <t>894.4296999999892</t>
  </si>
  <si>
    <t>3049.4919999999865</t>
  </si>
  <si>
    <t>1265.9128000000237</t>
  </si>
  <si>
    <t>37.21428571428571</t>
  </si>
  <si>
    <t>68.60714285714286</t>
  </si>
  <si>
    <t>upload_1753053311667_d3574386-8d95-4b91-b5c6-0ee2fecb639a.jpeg</t>
  </si>
  <si>
    <t>79.82954545454545</t>
  </si>
  <si>
    <t>1265.0340999999798</t>
  </si>
  <si>
    <t>3552.347099999963</t>
  </si>
  <si>
    <t>946.4973000000329</t>
  </si>
  <si>
    <t>85.64962121212122</t>
  </si>
  <si>
    <t>92.82481060606061</t>
  </si>
  <si>
    <t>upload_1753053337006_b38485b7-124a-401e-bf24-65359c9e90d0.jpeg</t>
  </si>
  <si>
    <t>30.208333333333336</t>
  </si>
  <si>
    <t>815.4888999999912</t>
  </si>
  <si>
    <t>2376.5688000000296</t>
  </si>
  <si>
    <t>974.0247000000296</t>
  </si>
  <si>
    <t>27.020833333333336</t>
  </si>
  <si>
    <t>33.51041666666667</t>
  </si>
  <si>
    <t>upload_1753053995329_8844fe76-9209-488e-adf3-7a13fe0c6f81.jpeg</t>
  </si>
  <si>
    <t>85.04385964912281</t>
  </si>
  <si>
    <t>928.7506000000008</t>
  </si>
  <si>
    <t>3722.667300000012</t>
  </si>
  <si>
    <t>895.7811999999876</t>
  </si>
  <si>
    <t>88.50438596491227</t>
  </si>
  <si>
    <t>94.25219298245614</t>
  </si>
  <si>
    <t>upload_1753054028270_f5833fb2-5b4f-45b5-9da8-a2cd7b10c97d.jpeg</t>
  </si>
  <si>
    <t>868.3285999999839</t>
  </si>
  <si>
    <t>999.2968999999904</t>
  </si>
  <si>
    <t>26.857142857142858</t>
  </si>
  <si>
    <t>63.42857142857143</t>
  </si>
  <si>
    <t>upload_1753054127030_3f2421d7-8517-4a68-a37e-f2c3fae607db.jpeg</t>
  </si>
  <si>
    <t>55.20833333333333</t>
  </si>
  <si>
    <t>820.8821000000057</t>
  </si>
  <si>
    <t>3150.2282999999807</t>
  </si>
  <si>
    <t>84.02083333333333</t>
  </si>
  <si>
    <t>92.01041666666666</t>
  </si>
  <si>
    <t>upload_1753054171499_5bc0643b-9294-4412-b80f-3b9c75b2e29b.jpeg</t>
  </si>
  <si>
    <t>4034.740599999964</t>
  </si>
  <si>
    <t>997.9602999999884</t>
  </si>
  <si>
    <t>upload_1753068426109_e9f92f5b-5160-494e-9ff7-32be49b9dca2.jpeg</t>
  </si>
  <si>
    <t>60.396825396825406</t>
  </si>
  <si>
    <t>938.6847000000104</t>
  </si>
  <si>
    <t>4732.036099999959</t>
  </si>
  <si>
    <t>1208.8406000000305</t>
  </si>
  <si>
    <t>24.03968253968254</t>
  </si>
  <si>
    <t>32.01984126984127</t>
  </si>
  <si>
    <t>upload_1753199632104_3a898757-6efe-49de-ab61-6195be57723c.jpeg</t>
  </si>
  <si>
    <t>92.26190476190476</t>
  </si>
  <si>
    <t>919.4417999999588</t>
  </si>
  <si>
    <t>2083.514799999989</t>
  </si>
  <si>
    <t>992.7822999999876</t>
  </si>
  <si>
    <t>99.22619047619048</t>
  </si>
  <si>
    <t>69.61309523809524</t>
  </si>
  <si>
    <t>upload_1753199710361_657a23e2-1ed3-4b67-86cb-e5b5b76d0cc5.jpeg</t>
  </si>
  <si>
    <t>39.28571428571428</t>
  </si>
  <si>
    <t>1097.983499999998</t>
  </si>
  <si>
    <t>1292.876499999977</t>
  </si>
  <si>
    <t>77.92857142857143</t>
  </si>
  <si>
    <t>88.96428571428572</t>
  </si>
  <si>
    <t>upload_1753200023630_697c8163-ee91-4c75-85b8-ad4a947e9e74.jpeg</t>
  </si>
  <si>
    <t>881.1238000000117</t>
  </si>
  <si>
    <t>3173.379900000043</t>
  </si>
  <si>
    <t>1153.1228000000056</t>
  </si>
  <si>
    <t>84.29166666666667</t>
  </si>
  <si>
    <t>92.14583333333334</t>
  </si>
  <si>
    <t>upload_1753200276846_5e3f6aab-de91-48e1-849a-eebc0300e207.jpeg</t>
  </si>
  <si>
    <t>76.97916666666667</t>
  </si>
  <si>
    <t>913.7602999999784</t>
  </si>
  <si>
    <t>1165.1218000000083</t>
  </si>
  <si>
    <t>33.69791666666667</t>
  </si>
  <si>
    <t>66.84895833333334</t>
  </si>
  <si>
    <t>upload_1753203870259_fa36a429-304f-4b3c-b6e0-3519beaece88.jpeg</t>
  </si>
  <si>
    <t>84.03361344537815</t>
  </si>
  <si>
    <t>1168.6085000000048</t>
  </si>
  <si>
    <t>2354.3840000000387</t>
  </si>
  <si>
    <t>1126.3923000000204</t>
  </si>
  <si>
    <t>87.40336134453781</t>
  </si>
  <si>
    <t>63.70168067226891</t>
  </si>
  <si>
    <t>upload_1753210424880_8af29a21-30dc-4b8a-b26b-24215e050a3f.jpeg</t>
  </si>
  <si>
    <t>90.53362573099416</t>
  </si>
  <si>
    <t>1035.4113999999868</t>
  </si>
  <si>
    <t>3305.6011999999555</t>
  </si>
  <si>
    <t>929.9839999999904</t>
  </si>
  <si>
    <t>32.38669590643275</t>
  </si>
  <si>
    <t>66.19334795321637</t>
  </si>
  <si>
    <t>upload_1753211834887_fce7ded2-46f9-47f1-ad3e-667e7d7a06c3.jpeg</t>
  </si>
  <si>
    <t>95.05208333333334</t>
  </si>
  <si>
    <t>986.2664999999992</t>
  </si>
  <si>
    <t>4119.179299999985</t>
  </si>
  <si>
    <t>1069.539500000019</t>
  </si>
  <si>
    <t>85.50520833333333</t>
  </si>
  <si>
    <t>92.75260416666666</t>
  </si>
  <si>
    <t>upload_1753211882695_715dc254-cac3-4122-a437-3f9d756e85b7.jpeg</t>
  </si>
  <si>
    <t>89.52380952380953</t>
  </si>
  <si>
    <t>953.3463000000212</t>
  </si>
  <si>
    <t>3383.411299999977</t>
  </si>
  <si>
    <t>1049.1896999999994</t>
  </si>
  <si>
    <t>84.95238095238095</t>
  </si>
  <si>
    <t>92.47619047619048</t>
  </si>
  <si>
    <t>upload_1753212036729_b69c6c19-248c-45b9-be7e-5e50eda48a04.jpeg</t>
  </si>
  <si>
    <t>78.19047619047619</t>
  </si>
  <si>
    <t>918.8770999999748</t>
  </si>
  <si>
    <t>3188.596899999993</t>
  </si>
  <si>
    <t>1092.4228000000085</t>
  </si>
  <si>
    <t>79.81904761904762</t>
  </si>
  <si>
    <t>59.90952380952381</t>
  </si>
  <si>
    <t xml:space="preserve">model </t>
  </si>
  <si>
    <t>gpt-5.4 (for all 3 models)</t>
  </si>
  <si>
    <t>llm judge model</t>
  </si>
  <si>
    <t>gpt-4o</t>
  </si>
  <si>
    <t xml:space="preserve">Guardrail Prompt: </t>
  </si>
  <si>
    <t xml:space="preserve">Inference Prompt : </t>
  </si>
  <si>
    <t xml:space="preserve">safetychecks Prompt : </t>
  </si>
  <si>
    <t>Same as Approach 3</t>
  </si>
  <si>
    <t xml:space="preserve">LLM Jusge Prompt: </t>
  </si>
  <si>
    <t xml:space="preserve">Same as approach 3 </t>
  </si>
  <si>
    <t xml:space="preserve">Evals Score </t>
  </si>
  <si>
    <t xml:space="preserve">Total Latency </t>
  </si>
  <si>
    <t>P50 Latency</t>
  </si>
  <si>
    <t>Guardrails Avg</t>
  </si>
  <si>
    <t>Inference Avg</t>
  </si>
  <si>
    <t>SafetyChecks Avg</t>
  </si>
  <si>
    <t xml:space="preserve">Input Guardrails P50 Latency </t>
  </si>
  <si>
    <t xml:space="preserve">Inference P50 Latency </t>
  </si>
  <si>
    <t>safetyChecks P50 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</si>
</sst>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A5E1-80F6-4B9A-AC63-F46C06BE256B}">
  <dimension ref="A1:Y73"/>
  <sheetViews>
    <sheetView tabSelected="1" topLeftCell="A45" workbookViewId="0">
      <selection activeCell="N2" sqref="N2:N73"/>
    </sheetView>
  </sheetViews>
  <sheetFormatPr defaultRowHeight="14.35" x14ac:dyDescent="0.5"/>
  <cols>
    <col min="21" max="21" width="17.29296875" customWidth="1"/>
    <col min="22" max="22" width="15.05859375" customWidth="1"/>
    <col min="24" max="24" width="17.29296875" customWidth="1"/>
    <col min="25" max="25" width="10.52734375" customWidth="1"/>
  </cols>
  <sheetData>
    <row r="1" spans="1:2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479</v>
      </c>
    </row>
    <row r="2" spans="1:25" x14ac:dyDescent="0.5">
      <c r="A2" t="s">
        <v>21</v>
      </c>
      <c r="B2">
        <v>1</v>
      </c>
      <c r="C2">
        <v>1</v>
      </c>
      <c r="D2" t="b">
        <v>1</v>
      </c>
      <c r="E2" s="1" t="s">
        <v>22</v>
      </c>
      <c r="F2" s="1" t="s">
        <v>23</v>
      </c>
      <c r="G2">
        <v>1</v>
      </c>
      <c r="H2">
        <v>666</v>
      </c>
      <c r="I2">
        <v>33</v>
      </c>
      <c r="J2">
        <v>1686.4885999999999</v>
      </c>
      <c r="K2">
        <v>1012</v>
      </c>
      <c r="L2">
        <v>200</v>
      </c>
      <c r="M2">
        <v>2737.9769000000001</v>
      </c>
      <c r="N2">
        <v>613</v>
      </c>
      <c r="O2">
        <v>65</v>
      </c>
      <c r="P2" s="1" t="s">
        <v>24</v>
      </c>
      <c r="Q2">
        <v>5</v>
      </c>
      <c r="R2">
        <v>5</v>
      </c>
      <c r="S2">
        <v>4</v>
      </c>
      <c r="T2" s="1" t="s">
        <v>25</v>
      </c>
      <c r="U2" s="1" t="s">
        <v>26</v>
      </c>
      <c r="V2">
        <f>J2+M2+P2</f>
        <v>5687.299</v>
      </c>
    </row>
    <row r="3" spans="1:25" x14ac:dyDescent="0.5">
      <c r="A3" t="s">
        <v>27</v>
      </c>
      <c r="B3">
        <v>1</v>
      </c>
      <c r="C3">
        <v>1</v>
      </c>
      <c r="D3" t="b">
        <v>1</v>
      </c>
      <c r="E3" s="1" t="s">
        <v>28</v>
      </c>
      <c r="F3" s="1" t="s">
        <v>29</v>
      </c>
      <c r="G3">
        <v>0</v>
      </c>
      <c r="H3">
        <v>666</v>
      </c>
      <c r="I3">
        <v>33</v>
      </c>
      <c r="J3" s="1" t="s">
        <v>30</v>
      </c>
      <c r="K3">
        <v>1012</v>
      </c>
      <c r="L3">
        <v>338</v>
      </c>
      <c r="M3">
        <v>4485.2487000000001</v>
      </c>
      <c r="N3">
        <v>653</v>
      </c>
      <c r="O3">
        <v>65</v>
      </c>
      <c r="P3" s="1" t="s">
        <v>31</v>
      </c>
      <c r="Q3">
        <v>2</v>
      </c>
      <c r="R3">
        <v>5</v>
      </c>
      <c r="S3">
        <v>4</v>
      </c>
      <c r="T3" s="1" t="s">
        <v>32</v>
      </c>
      <c r="U3" s="1" t="s">
        <v>33</v>
      </c>
      <c r="V3">
        <f t="shared" ref="V3:V66" si="0">J3+M3+P3</f>
        <v>6739.6416000000008</v>
      </c>
    </row>
    <row r="4" spans="1:25" x14ac:dyDescent="0.5">
      <c r="A4" t="s">
        <v>34</v>
      </c>
      <c r="B4">
        <v>1</v>
      </c>
      <c r="C4">
        <v>0</v>
      </c>
      <c r="D4" t="b">
        <v>1</v>
      </c>
      <c r="E4" s="1" t="s">
        <v>35</v>
      </c>
      <c r="F4">
        <v>0</v>
      </c>
      <c r="G4">
        <v>1</v>
      </c>
      <c r="H4">
        <v>666</v>
      </c>
      <c r="I4">
        <v>33</v>
      </c>
      <c r="J4" s="1" t="s">
        <v>36</v>
      </c>
      <c r="K4">
        <v>1012</v>
      </c>
      <c r="L4">
        <v>239</v>
      </c>
      <c r="M4" s="1" t="s">
        <v>37</v>
      </c>
      <c r="N4">
        <v>640</v>
      </c>
      <c r="O4">
        <v>65</v>
      </c>
      <c r="P4" s="1" t="s">
        <v>38</v>
      </c>
      <c r="Q4">
        <v>2</v>
      </c>
      <c r="R4">
        <v>3</v>
      </c>
      <c r="S4">
        <v>4</v>
      </c>
      <c r="T4" s="1" t="s">
        <v>39</v>
      </c>
      <c r="U4" s="1" t="s">
        <v>40</v>
      </c>
      <c r="V4">
        <f t="shared" si="0"/>
        <v>5887.5868999999793</v>
      </c>
    </row>
    <row r="5" spans="1:25" x14ac:dyDescent="0.5">
      <c r="A5" t="s">
        <v>41</v>
      </c>
      <c r="B5">
        <v>1</v>
      </c>
      <c r="C5">
        <v>0</v>
      </c>
      <c r="D5" t="b">
        <v>1</v>
      </c>
      <c r="E5" s="1" t="s">
        <v>42</v>
      </c>
      <c r="F5">
        <v>20</v>
      </c>
      <c r="G5">
        <v>0</v>
      </c>
      <c r="H5">
        <v>666</v>
      </c>
      <c r="I5">
        <v>33</v>
      </c>
      <c r="J5" s="1" t="s">
        <v>43</v>
      </c>
      <c r="K5">
        <v>1012</v>
      </c>
      <c r="L5">
        <v>261</v>
      </c>
      <c r="M5">
        <v>3999.2451000000001</v>
      </c>
      <c r="N5">
        <v>627</v>
      </c>
      <c r="O5">
        <v>65</v>
      </c>
      <c r="P5" s="1" t="s">
        <v>44</v>
      </c>
      <c r="Q5">
        <v>4</v>
      </c>
      <c r="R5">
        <v>4</v>
      </c>
      <c r="S5">
        <v>4</v>
      </c>
      <c r="T5" s="1" t="s">
        <v>45</v>
      </c>
      <c r="U5" s="1" t="s">
        <v>46</v>
      </c>
      <c r="V5">
        <f t="shared" si="0"/>
        <v>6257.1490999999805</v>
      </c>
      <c r="X5" s="2" t="s">
        <v>478</v>
      </c>
      <c r="Y5" s="2">
        <f>AVERAGE(U2:U73)</f>
        <v>83.443749999999994</v>
      </c>
    </row>
    <row r="6" spans="1:25" x14ac:dyDescent="0.5">
      <c r="A6" t="s">
        <v>47</v>
      </c>
      <c r="B6">
        <v>1</v>
      </c>
      <c r="C6">
        <v>1</v>
      </c>
      <c r="D6" t="b">
        <v>1</v>
      </c>
      <c r="E6" s="1" t="s">
        <v>48</v>
      </c>
      <c r="F6">
        <v>0</v>
      </c>
      <c r="G6">
        <v>1</v>
      </c>
      <c r="H6">
        <v>666</v>
      </c>
      <c r="I6">
        <v>33</v>
      </c>
      <c r="J6" s="1" t="s">
        <v>49</v>
      </c>
      <c r="K6">
        <v>1012</v>
      </c>
      <c r="L6">
        <v>203</v>
      </c>
      <c r="M6" s="1" t="s">
        <v>50</v>
      </c>
      <c r="N6">
        <v>637</v>
      </c>
      <c r="O6">
        <v>65</v>
      </c>
      <c r="P6" s="1" t="s">
        <v>51</v>
      </c>
      <c r="Q6">
        <v>5</v>
      </c>
      <c r="R6">
        <v>5</v>
      </c>
      <c r="S6">
        <v>4</v>
      </c>
      <c r="T6" s="1" t="s">
        <v>52</v>
      </c>
      <c r="U6" s="1" t="s">
        <v>53</v>
      </c>
      <c r="V6">
        <f t="shared" si="0"/>
        <v>5271.7747999999901</v>
      </c>
      <c r="X6" s="2" t="s">
        <v>480</v>
      </c>
      <c r="Y6" s="2">
        <f>MEDIAN(V2:V73)</f>
        <v>5481.5549999999985</v>
      </c>
    </row>
    <row r="7" spans="1:25" x14ac:dyDescent="0.5">
      <c r="A7" t="s">
        <v>54</v>
      </c>
      <c r="B7">
        <v>1</v>
      </c>
      <c r="C7">
        <v>1</v>
      </c>
      <c r="D7" t="b">
        <v>1</v>
      </c>
      <c r="E7" s="1" t="s">
        <v>55</v>
      </c>
      <c r="F7">
        <v>25</v>
      </c>
      <c r="G7">
        <v>1</v>
      </c>
      <c r="H7">
        <v>666</v>
      </c>
      <c r="I7">
        <v>33</v>
      </c>
      <c r="J7" s="1" t="s">
        <v>56</v>
      </c>
      <c r="K7">
        <v>1012</v>
      </c>
      <c r="L7">
        <v>266</v>
      </c>
      <c r="M7" s="1" t="s">
        <v>57</v>
      </c>
      <c r="N7">
        <v>633</v>
      </c>
      <c r="O7">
        <v>65</v>
      </c>
      <c r="P7" s="1" t="s">
        <v>58</v>
      </c>
      <c r="Q7">
        <v>3</v>
      </c>
      <c r="R7">
        <v>4</v>
      </c>
      <c r="S7">
        <v>3</v>
      </c>
      <c r="T7" s="1" t="s">
        <v>59</v>
      </c>
      <c r="U7" s="1" t="s">
        <v>60</v>
      </c>
      <c r="V7">
        <f t="shared" si="0"/>
        <v>5910.7303000000047</v>
      </c>
    </row>
    <row r="8" spans="1:25" x14ac:dyDescent="0.5">
      <c r="A8" t="s">
        <v>61</v>
      </c>
      <c r="B8">
        <v>1</v>
      </c>
      <c r="C8">
        <v>0</v>
      </c>
      <c r="D8" t="b">
        <v>1</v>
      </c>
      <c r="E8" s="1" t="s">
        <v>62</v>
      </c>
      <c r="F8">
        <v>0</v>
      </c>
      <c r="G8">
        <v>0</v>
      </c>
      <c r="H8">
        <v>666</v>
      </c>
      <c r="I8">
        <v>33</v>
      </c>
      <c r="J8" s="1" t="s">
        <v>63</v>
      </c>
      <c r="K8">
        <v>1012</v>
      </c>
      <c r="L8">
        <v>385</v>
      </c>
      <c r="M8" s="1" t="s">
        <v>64</v>
      </c>
      <c r="N8">
        <v>644</v>
      </c>
      <c r="O8">
        <v>65</v>
      </c>
      <c r="P8" s="1" t="s">
        <v>65</v>
      </c>
      <c r="Q8">
        <v>4</v>
      </c>
      <c r="R8">
        <v>5</v>
      </c>
      <c r="S8">
        <v>5</v>
      </c>
      <c r="T8" s="1" t="s">
        <v>66</v>
      </c>
      <c r="U8" s="1" t="s">
        <v>67</v>
      </c>
      <c r="V8">
        <f t="shared" si="0"/>
        <v>8199.4667000000009</v>
      </c>
    </row>
    <row r="9" spans="1:25" x14ac:dyDescent="0.5">
      <c r="A9" t="s">
        <v>68</v>
      </c>
      <c r="B9">
        <v>1</v>
      </c>
      <c r="C9">
        <v>1</v>
      </c>
      <c r="D9" t="b">
        <v>1</v>
      </c>
      <c r="E9">
        <v>50</v>
      </c>
      <c r="F9">
        <v>0</v>
      </c>
      <c r="G9">
        <v>1</v>
      </c>
      <c r="H9">
        <v>666</v>
      </c>
      <c r="I9">
        <v>33</v>
      </c>
      <c r="J9" s="1" t="s">
        <v>69</v>
      </c>
      <c r="K9">
        <v>1012</v>
      </c>
      <c r="L9">
        <v>143</v>
      </c>
      <c r="M9">
        <v>2215.1152000000002</v>
      </c>
      <c r="N9">
        <v>614</v>
      </c>
      <c r="O9">
        <v>65</v>
      </c>
      <c r="P9" s="1" t="s">
        <v>70</v>
      </c>
      <c r="Q9">
        <v>3</v>
      </c>
      <c r="R9">
        <v>1</v>
      </c>
      <c r="S9">
        <v>1</v>
      </c>
      <c r="T9">
        <v>65</v>
      </c>
      <c r="U9">
        <v>82.5</v>
      </c>
      <c r="V9">
        <f t="shared" si="0"/>
        <v>4202.6534999999976</v>
      </c>
    </row>
    <row r="10" spans="1:25" x14ac:dyDescent="0.5">
      <c r="A10" t="s">
        <v>71</v>
      </c>
      <c r="B10">
        <v>1</v>
      </c>
      <c r="C10">
        <v>1</v>
      </c>
      <c r="D10" t="b">
        <v>1</v>
      </c>
      <c r="E10" s="1" t="s">
        <v>72</v>
      </c>
      <c r="F10">
        <v>0</v>
      </c>
      <c r="G10">
        <v>1</v>
      </c>
      <c r="H10">
        <v>666</v>
      </c>
      <c r="I10">
        <v>33</v>
      </c>
      <c r="J10" s="1" t="s">
        <v>73</v>
      </c>
      <c r="K10">
        <v>1012</v>
      </c>
      <c r="L10">
        <v>268</v>
      </c>
      <c r="M10" s="1" t="s">
        <v>74</v>
      </c>
      <c r="N10">
        <v>641</v>
      </c>
      <c r="O10">
        <v>65</v>
      </c>
      <c r="P10" s="1" t="s">
        <v>75</v>
      </c>
      <c r="Q10">
        <v>4</v>
      </c>
      <c r="R10">
        <v>5</v>
      </c>
      <c r="S10">
        <v>4</v>
      </c>
      <c r="T10" s="1" t="s">
        <v>76</v>
      </c>
      <c r="U10" s="1" t="s">
        <v>77</v>
      </c>
      <c r="V10">
        <f t="shared" si="0"/>
        <v>5615.8631999999852</v>
      </c>
      <c r="X10" s="3" t="s">
        <v>481</v>
      </c>
      <c r="Y10" s="3">
        <f>AVERAGE(B2:B73)</f>
        <v>1</v>
      </c>
    </row>
    <row r="11" spans="1:25" x14ac:dyDescent="0.5">
      <c r="A11" t="s">
        <v>78</v>
      </c>
      <c r="B11">
        <v>1</v>
      </c>
      <c r="C11">
        <v>1</v>
      </c>
      <c r="D11" t="b">
        <v>1</v>
      </c>
      <c r="E11">
        <v>90.179581447963798</v>
      </c>
      <c r="F11">
        <v>40</v>
      </c>
      <c r="G11">
        <v>1</v>
      </c>
      <c r="H11">
        <v>666</v>
      </c>
      <c r="I11">
        <v>33</v>
      </c>
      <c r="J11" s="1" t="s">
        <v>79</v>
      </c>
      <c r="K11">
        <v>1012</v>
      </c>
      <c r="L11">
        <v>217</v>
      </c>
      <c r="M11" s="1" t="s">
        <v>80</v>
      </c>
      <c r="N11">
        <v>623</v>
      </c>
      <c r="O11">
        <v>65</v>
      </c>
      <c r="P11" s="1" t="s">
        <v>81</v>
      </c>
      <c r="Q11">
        <v>4</v>
      </c>
      <c r="R11">
        <v>4</v>
      </c>
      <c r="S11">
        <v>3</v>
      </c>
      <c r="T11" s="1" t="s">
        <v>82</v>
      </c>
      <c r="U11" s="1" t="s">
        <v>83</v>
      </c>
      <c r="V11">
        <f t="shared" si="0"/>
        <v>5293.3685000000005</v>
      </c>
      <c r="X11" s="3" t="s">
        <v>482</v>
      </c>
      <c r="Y11" s="3">
        <f>AVERAGE(T2:T73)</f>
        <v>80.019078728289259</v>
      </c>
    </row>
    <row r="12" spans="1:25" x14ac:dyDescent="0.5">
      <c r="A12" t="s">
        <v>84</v>
      </c>
      <c r="B12">
        <v>1</v>
      </c>
      <c r="C12">
        <v>0</v>
      </c>
      <c r="D12" t="b">
        <v>1</v>
      </c>
      <c r="E12" s="1" t="s">
        <v>85</v>
      </c>
      <c r="F12">
        <v>50</v>
      </c>
      <c r="G12">
        <v>0</v>
      </c>
      <c r="H12">
        <v>666</v>
      </c>
      <c r="I12">
        <v>33</v>
      </c>
      <c r="J12" s="1" t="s">
        <v>86</v>
      </c>
      <c r="K12">
        <v>1012</v>
      </c>
      <c r="L12">
        <v>266</v>
      </c>
      <c r="M12" s="1" t="s">
        <v>87</v>
      </c>
      <c r="N12">
        <v>640</v>
      </c>
      <c r="O12">
        <v>65</v>
      </c>
      <c r="P12" s="1" t="s">
        <v>88</v>
      </c>
      <c r="Q12">
        <v>4</v>
      </c>
      <c r="R12">
        <v>5</v>
      </c>
      <c r="S12">
        <v>3</v>
      </c>
      <c r="T12" s="1" t="s">
        <v>89</v>
      </c>
      <c r="U12" s="1" t="s">
        <v>90</v>
      </c>
      <c r="V12">
        <f t="shared" si="0"/>
        <v>6295.3791999999703</v>
      </c>
      <c r="X12" s="3" t="s">
        <v>483</v>
      </c>
      <c r="Y12" s="3">
        <f>AVERAGE(C2:C73)</f>
        <v>0.61111111111111116</v>
      </c>
    </row>
    <row r="13" spans="1:25" x14ac:dyDescent="0.5">
      <c r="A13" t="s">
        <v>91</v>
      </c>
      <c r="B13">
        <v>1</v>
      </c>
      <c r="C13">
        <v>0</v>
      </c>
      <c r="D13" t="b">
        <v>1</v>
      </c>
      <c r="E13" s="1" t="s">
        <v>92</v>
      </c>
      <c r="F13" s="1" t="s">
        <v>93</v>
      </c>
      <c r="G13">
        <v>0</v>
      </c>
      <c r="H13">
        <v>666</v>
      </c>
      <c r="I13">
        <v>33</v>
      </c>
      <c r="J13">
        <v>1671.4348</v>
      </c>
      <c r="K13">
        <v>1012</v>
      </c>
      <c r="L13">
        <v>305</v>
      </c>
      <c r="M13">
        <v>4780.4699000000001</v>
      </c>
      <c r="N13">
        <v>648</v>
      </c>
      <c r="O13">
        <v>65</v>
      </c>
      <c r="P13" s="1" t="s">
        <v>94</v>
      </c>
      <c r="Q13">
        <v>3</v>
      </c>
      <c r="R13">
        <v>4</v>
      </c>
      <c r="S13">
        <v>3</v>
      </c>
      <c r="T13" s="1" t="s">
        <v>95</v>
      </c>
      <c r="U13" s="1" t="s">
        <v>96</v>
      </c>
      <c r="V13">
        <f t="shared" si="0"/>
        <v>7782.4276</v>
      </c>
    </row>
    <row r="14" spans="1:25" x14ac:dyDescent="0.5">
      <c r="A14" t="s">
        <v>97</v>
      </c>
      <c r="B14">
        <v>1</v>
      </c>
      <c r="C14">
        <v>0</v>
      </c>
      <c r="D14" t="b">
        <v>1</v>
      </c>
      <c r="E14" s="1" t="s">
        <v>98</v>
      </c>
      <c r="F14">
        <v>0</v>
      </c>
      <c r="G14">
        <v>1</v>
      </c>
      <c r="H14">
        <v>666</v>
      </c>
      <c r="I14">
        <v>33</v>
      </c>
      <c r="J14" s="1" t="s">
        <v>99</v>
      </c>
      <c r="K14">
        <v>1012</v>
      </c>
      <c r="L14">
        <v>254</v>
      </c>
      <c r="M14" s="1" t="s">
        <v>100</v>
      </c>
      <c r="N14">
        <v>649</v>
      </c>
      <c r="O14">
        <v>65</v>
      </c>
      <c r="P14" s="1" t="s">
        <v>101</v>
      </c>
      <c r="Q14">
        <v>2</v>
      </c>
      <c r="R14">
        <v>3</v>
      </c>
      <c r="S14">
        <v>2</v>
      </c>
      <c r="T14" s="1" t="s">
        <v>102</v>
      </c>
      <c r="U14" s="1" t="s">
        <v>103</v>
      </c>
      <c r="V14">
        <f t="shared" si="0"/>
        <v>6667.8437999999896</v>
      </c>
    </row>
    <row r="15" spans="1:25" x14ac:dyDescent="0.5">
      <c r="A15" t="s">
        <v>104</v>
      </c>
      <c r="B15">
        <v>1</v>
      </c>
      <c r="C15">
        <v>1</v>
      </c>
      <c r="D15" t="b">
        <v>1</v>
      </c>
      <c r="E15" s="1" t="s">
        <v>105</v>
      </c>
      <c r="F15">
        <v>20</v>
      </c>
      <c r="G15">
        <v>1</v>
      </c>
      <c r="H15">
        <v>666</v>
      </c>
      <c r="I15">
        <v>33</v>
      </c>
      <c r="J15" s="1" t="s">
        <v>106</v>
      </c>
      <c r="K15">
        <v>1012</v>
      </c>
      <c r="L15">
        <v>249</v>
      </c>
      <c r="M15" s="1" t="s">
        <v>107</v>
      </c>
      <c r="N15">
        <v>633</v>
      </c>
      <c r="O15">
        <v>65</v>
      </c>
      <c r="P15" s="1" t="s">
        <v>108</v>
      </c>
      <c r="Q15">
        <v>5</v>
      </c>
      <c r="R15">
        <v>4</v>
      </c>
      <c r="S15">
        <v>5</v>
      </c>
      <c r="T15" s="1" t="s">
        <v>109</v>
      </c>
      <c r="U15" s="1" t="s">
        <v>110</v>
      </c>
      <c r="V15">
        <f t="shared" si="0"/>
        <v>8053.3000000000011</v>
      </c>
    </row>
    <row r="16" spans="1:25" x14ac:dyDescent="0.5">
      <c r="A16" t="s">
        <v>111</v>
      </c>
      <c r="B16">
        <v>1</v>
      </c>
      <c r="C16">
        <v>0</v>
      </c>
      <c r="D16" t="b">
        <v>1</v>
      </c>
      <c r="E16" s="1" t="s">
        <v>112</v>
      </c>
      <c r="F16">
        <v>20</v>
      </c>
      <c r="G16">
        <v>0</v>
      </c>
      <c r="H16">
        <v>666</v>
      </c>
      <c r="I16">
        <v>33</v>
      </c>
      <c r="J16" s="1" t="s">
        <v>113</v>
      </c>
      <c r="K16">
        <v>1012</v>
      </c>
      <c r="L16">
        <v>270</v>
      </c>
      <c r="M16" s="1" t="s">
        <v>114</v>
      </c>
      <c r="N16">
        <v>631</v>
      </c>
      <c r="O16">
        <v>65</v>
      </c>
      <c r="P16" s="1" t="s">
        <v>115</v>
      </c>
      <c r="Q16">
        <v>4</v>
      </c>
      <c r="R16">
        <v>4</v>
      </c>
      <c r="S16">
        <v>4</v>
      </c>
      <c r="T16" s="1" t="s">
        <v>116</v>
      </c>
      <c r="U16" s="1" t="s">
        <v>117</v>
      </c>
      <c r="V16">
        <f t="shared" si="0"/>
        <v>5960.5772999999899</v>
      </c>
      <c r="X16" t="s">
        <v>484</v>
      </c>
      <c r="Y16">
        <f>MEDIAN(J2:J73)</f>
        <v>998.89799999999696</v>
      </c>
    </row>
    <row r="17" spans="1:25" x14ac:dyDescent="0.5">
      <c r="A17" t="s">
        <v>118</v>
      </c>
      <c r="B17">
        <v>1</v>
      </c>
      <c r="C17">
        <v>1</v>
      </c>
      <c r="D17" t="b">
        <v>1</v>
      </c>
      <c r="E17">
        <v>0</v>
      </c>
      <c r="F17" s="1" t="s">
        <v>23</v>
      </c>
      <c r="G17">
        <v>1</v>
      </c>
      <c r="H17">
        <v>666</v>
      </c>
      <c r="I17">
        <v>33</v>
      </c>
      <c r="J17" s="1" t="s">
        <v>119</v>
      </c>
      <c r="K17">
        <v>1012</v>
      </c>
      <c r="L17">
        <v>223</v>
      </c>
      <c r="M17" s="1" t="s">
        <v>120</v>
      </c>
      <c r="N17">
        <v>618</v>
      </c>
      <c r="O17">
        <v>65</v>
      </c>
      <c r="P17">
        <v>1472.3197</v>
      </c>
      <c r="Q17">
        <v>5</v>
      </c>
      <c r="R17">
        <v>4</v>
      </c>
      <c r="S17">
        <v>3</v>
      </c>
      <c r="T17" s="1" t="s">
        <v>121</v>
      </c>
      <c r="U17" s="1" t="s">
        <v>122</v>
      </c>
      <c r="V17">
        <f t="shared" si="0"/>
        <v>5531.9559999999838</v>
      </c>
      <c r="X17" t="s">
        <v>485</v>
      </c>
      <c r="Y17">
        <f>MEDIAN(M2:M73)</f>
        <v>3603.1725000000001</v>
      </c>
    </row>
    <row r="18" spans="1:25" x14ac:dyDescent="0.5">
      <c r="A18" t="s">
        <v>123</v>
      </c>
      <c r="B18">
        <v>1</v>
      </c>
      <c r="C18">
        <v>1</v>
      </c>
      <c r="D18" t="b">
        <v>1</v>
      </c>
      <c r="E18" s="1" t="s">
        <v>124</v>
      </c>
      <c r="F18">
        <v>0</v>
      </c>
      <c r="G18">
        <v>0</v>
      </c>
      <c r="H18">
        <v>666</v>
      </c>
      <c r="I18">
        <v>33</v>
      </c>
      <c r="J18" s="1" t="s">
        <v>125</v>
      </c>
      <c r="K18">
        <v>1012</v>
      </c>
      <c r="L18">
        <v>164</v>
      </c>
      <c r="M18" s="1" t="s">
        <v>126</v>
      </c>
      <c r="N18">
        <v>630</v>
      </c>
      <c r="O18">
        <v>65</v>
      </c>
      <c r="P18" s="1" t="s">
        <v>127</v>
      </c>
      <c r="Q18">
        <v>5</v>
      </c>
      <c r="R18">
        <v>4</v>
      </c>
      <c r="S18">
        <v>4</v>
      </c>
      <c r="T18" s="1" t="s">
        <v>128</v>
      </c>
      <c r="U18" s="1" t="s">
        <v>129</v>
      </c>
      <c r="V18">
        <f t="shared" si="0"/>
        <v>5168.62679999998</v>
      </c>
      <c r="X18" t="s">
        <v>486</v>
      </c>
      <c r="Y18">
        <f>MEDIAN(P2:P73)</f>
        <v>1102.4144000000149</v>
      </c>
    </row>
    <row r="19" spans="1:25" x14ac:dyDescent="0.5">
      <c r="A19" t="s">
        <v>130</v>
      </c>
      <c r="B19">
        <v>1</v>
      </c>
      <c r="C19">
        <v>1</v>
      </c>
      <c r="D19" t="b">
        <v>1</v>
      </c>
      <c r="E19" s="1" t="s">
        <v>131</v>
      </c>
      <c r="F19">
        <v>0</v>
      </c>
      <c r="G19">
        <v>0</v>
      </c>
      <c r="H19">
        <v>666</v>
      </c>
      <c r="I19">
        <v>33</v>
      </c>
      <c r="J19" s="1" t="s">
        <v>132</v>
      </c>
      <c r="K19">
        <v>1012</v>
      </c>
      <c r="L19">
        <v>301</v>
      </c>
      <c r="M19" s="1" t="s">
        <v>133</v>
      </c>
      <c r="N19">
        <v>635</v>
      </c>
      <c r="O19">
        <v>65</v>
      </c>
      <c r="P19" s="1" t="s">
        <v>134</v>
      </c>
      <c r="Q19">
        <v>4</v>
      </c>
      <c r="R19">
        <v>4</v>
      </c>
      <c r="S19">
        <v>4</v>
      </c>
      <c r="T19" s="1" t="s">
        <v>135</v>
      </c>
      <c r="U19" s="1" t="s">
        <v>136</v>
      </c>
      <c r="V19">
        <f t="shared" si="0"/>
        <v>6005.3484999999901</v>
      </c>
    </row>
    <row r="20" spans="1:25" x14ac:dyDescent="0.5">
      <c r="A20" t="s">
        <v>137</v>
      </c>
      <c r="B20">
        <v>1</v>
      </c>
      <c r="C20">
        <v>1</v>
      </c>
      <c r="D20" t="b">
        <v>1</v>
      </c>
      <c r="E20">
        <v>100</v>
      </c>
      <c r="F20">
        <v>100</v>
      </c>
      <c r="G20">
        <v>1</v>
      </c>
      <c r="H20">
        <v>666</v>
      </c>
      <c r="I20">
        <v>33</v>
      </c>
      <c r="J20" s="1" t="s">
        <v>138</v>
      </c>
      <c r="K20">
        <v>1012</v>
      </c>
      <c r="L20">
        <v>161</v>
      </c>
      <c r="M20" s="1" t="s">
        <v>139</v>
      </c>
      <c r="N20">
        <v>630</v>
      </c>
      <c r="O20">
        <v>65</v>
      </c>
      <c r="P20" s="1" t="s">
        <v>140</v>
      </c>
      <c r="Q20">
        <v>5</v>
      </c>
      <c r="R20">
        <v>4</v>
      </c>
      <c r="S20">
        <v>4</v>
      </c>
      <c r="T20">
        <v>96</v>
      </c>
      <c r="U20">
        <v>98</v>
      </c>
      <c r="V20">
        <f t="shared" si="0"/>
        <v>4789.6084999999903</v>
      </c>
    </row>
    <row r="21" spans="1:25" x14ac:dyDescent="0.5">
      <c r="A21" t="s">
        <v>141</v>
      </c>
      <c r="B21">
        <v>1</v>
      </c>
      <c r="C21">
        <v>0</v>
      </c>
      <c r="D21" t="b">
        <v>1</v>
      </c>
      <c r="E21">
        <v>96.875</v>
      </c>
      <c r="F21">
        <v>50</v>
      </c>
      <c r="G21">
        <v>1</v>
      </c>
      <c r="H21">
        <v>666</v>
      </c>
      <c r="I21">
        <v>33</v>
      </c>
      <c r="J21" s="1" t="s">
        <v>142</v>
      </c>
      <c r="K21">
        <v>1012</v>
      </c>
      <c r="L21">
        <v>198</v>
      </c>
      <c r="M21" s="1" t="s">
        <v>143</v>
      </c>
      <c r="N21">
        <v>619</v>
      </c>
      <c r="O21">
        <v>65</v>
      </c>
      <c r="P21" s="1" t="s">
        <v>144</v>
      </c>
      <c r="Q21">
        <v>5</v>
      </c>
      <c r="R21">
        <v>5</v>
      </c>
      <c r="S21">
        <v>4</v>
      </c>
      <c r="T21">
        <v>92.6875</v>
      </c>
      <c r="U21">
        <v>66.34375</v>
      </c>
      <c r="V21">
        <f t="shared" si="0"/>
        <v>5457.9178999999904</v>
      </c>
    </row>
    <row r="22" spans="1:25" x14ac:dyDescent="0.5">
      <c r="A22" t="s">
        <v>145</v>
      </c>
      <c r="B22">
        <v>1</v>
      </c>
      <c r="C22">
        <v>0</v>
      </c>
      <c r="D22" t="b">
        <v>1</v>
      </c>
      <c r="E22">
        <v>80.376016260162601</v>
      </c>
      <c r="F22">
        <v>100</v>
      </c>
      <c r="G22">
        <v>1</v>
      </c>
      <c r="H22">
        <v>666</v>
      </c>
      <c r="I22">
        <v>33</v>
      </c>
      <c r="J22" s="1" t="s">
        <v>146</v>
      </c>
      <c r="K22">
        <v>1012</v>
      </c>
      <c r="L22">
        <v>172</v>
      </c>
      <c r="M22" s="1" t="s">
        <v>147</v>
      </c>
      <c r="N22">
        <v>617</v>
      </c>
      <c r="O22">
        <v>65</v>
      </c>
      <c r="P22" s="1" t="s">
        <v>148</v>
      </c>
      <c r="Q22">
        <v>5</v>
      </c>
      <c r="R22">
        <v>4</v>
      </c>
      <c r="S22">
        <v>4</v>
      </c>
      <c r="T22" s="1" t="s">
        <v>149</v>
      </c>
      <c r="U22" s="1" t="s">
        <v>150</v>
      </c>
      <c r="V22">
        <f t="shared" si="0"/>
        <v>4554.4966999999961</v>
      </c>
    </row>
    <row r="23" spans="1:25" x14ac:dyDescent="0.5">
      <c r="A23" t="s">
        <v>151</v>
      </c>
      <c r="B23">
        <v>1</v>
      </c>
      <c r="C23">
        <v>0</v>
      </c>
      <c r="D23" t="b">
        <v>1</v>
      </c>
      <c r="E23" s="1" t="s">
        <v>152</v>
      </c>
      <c r="F23">
        <v>0</v>
      </c>
      <c r="G23">
        <v>0</v>
      </c>
      <c r="H23">
        <v>666</v>
      </c>
      <c r="I23">
        <v>33</v>
      </c>
      <c r="J23" s="1" t="s">
        <v>153</v>
      </c>
      <c r="K23">
        <v>1012</v>
      </c>
      <c r="L23">
        <v>278</v>
      </c>
      <c r="M23" s="1" t="s">
        <v>154</v>
      </c>
      <c r="N23">
        <v>643</v>
      </c>
      <c r="O23">
        <v>65</v>
      </c>
      <c r="P23" s="1" t="s">
        <v>155</v>
      </c>
      <c r="Q23">
        <v>2</v>
      </c>
      <c r="R23">
        <v>4</v>
      </c>
      <c r="S23">
        <v>3</v>
      </c>
      <c r="T23" s="1" t="s">
        <v>156</v>
      </c>
      <c r="U23" s="1" t="s">
        <v>157</v>
      </c>
      <c r="V23">
        <f t="shared" si="0"/>
        <v>6676.3999999999869</v>
      </c>
    </row>
    <row r="24" spans="1:25" x14ac:dyDescent="0.5">
      <c r="A24" t="s">
        <v>158</v>
      </c>
      <c r="B24">
        <v>1</v>
      </c>
      <c r="C24">
        <v>0</v>
      </c>
      <c r="D24" t="b">
        <v>1</v>
      </c>
      <c r="E24" s="1" t="s">
        <v>159</v>
      </c>
      <c r="F24">
        <v>20</v>
      </c>
      <c r="G24">
        <v>0</v>
      </c>
      <c r="H24">
        <v>666</v>
      </c>
      <c r="I24">
        <v>33</v>
      </c>
      <c r="J24" s="1" t="s">
        <v>160</v>
      </c>
      <c r="K24">
        <v>1012</v>
      </c>
      <c r="L24">
        <v>284</v>
      </c>
      <c r="M24" s="1" t="s">
        <v>161</v>
      </c>
      <c r="N24">
        <v>638</v>
      </c>
      <c r="O24">
        <v>65</v>
      </c>
      <c r="P24" s="1" t="s">
        <v>162</v>
      </c>
      <c r="Q24">
        <v>2</v>
      </c>
      <c r="R24">
        <v>4</v>
      </c>
      <c r="S24">
        <v>3</v>
      </c>
      <c r="T24" s="1" t="s">
        <v>163</v>
      </c>
      <c r="U24" s="1" t="s">
        <v>164</v>
      </c>
      <c r="V24">
        <f t="shared" si="0"/>
        <v>6366.3242999999802</v>
      </c>
    </row>
    <row r="25" spans="1:25" x14ac:dyDescent="0.5">
      <c r="A25" t="s">
        <v>165</v>
      </c>
      <c r="B25">
        <v>1</v>
      </c>
      <c r="C25">
        <v>1</v>
      </c>
      <c r="D25" t="b">
        <v>1</v>
      </c>
      <c r="E25">
        <v>0</v>
      </c>
      <c r="F25">
        <v>100</v>
      </c>
      <c r="G25">
        <v>0</v>
      </c>
      <c r="H25">
        <v>666</v>
      </c>
      <c r="I25">
        <v>33</v>
      </c>
      <c r="J25" s="1" t="s">
        <v>166</v>
      </c>
      <c r="K25">
        <v>1012</v>
      </c>
      <c r="L25">
        <v>176</v>
      </c>
      <c r="M25">
        <v>2684.2504999999901</v>
      </c>
      <c r="N25">
        <v>624</v>
      </c>
      <c r="O25">
        <v>65</v>
      </c>
      <c r="P25" s="1" t="s">
        <v>167</v>
      </c>
      <c r="Q25">
        <v>2</v>
      </c>
      <c r="R25">
        <v>2</v>
      </c>
      <c r="S25">
        <v>3</v>
      </c>
      <c r="T25">
        <v>24</v>
      </c>
      <c r="U25">
        <v>62</v>
      </c>
      <c r="V25">
        <f t="shared" si="0"/>
        <v>5014.4085999999588</v>
      </c>
    </row>
    <row r="26" spans="1:25" x14ac:dyDescent="0.5">
      <c r="A26" t="s">
        <v>168</v>
      </c>
      <c r="B26">
        <v>1</v>
      </c>
      <c r="C26">
        <v>1</v>
      </c>
      <c r="D26" t="b">
        <v>1</v>
      </c>
      <c r="E26" s="1" t="s">
        <v>169</v>
      </c>
      <c r="F26">
        <v>40</v>
      </c>
      <c r="G26">
        <v>0</v>
      </c>
      <c r="H26">
        <v>666</v>
      </c>
      <c r="I26">
        <v>33</v>
      </c>
      <c r="J26" s="1" t="s">
        <v>170</v>
      </c>
      <c r="K26">
        <v>1012</v>
      </c>
      <c r="L26">
        <v>278</v>
      </c>
      <c r="M26" s="1" t="s">
        <v>171</v>
      </c>
      <c r="N26">
        <v>632</v>
      </c>
      <c r="O26">
        <v>65</v>
      </c>
      <c r="P26" s="1" t="s">
        <v>172</v>
      </c>
      <c r="Q26">
        <v>3</v>
      </c>
      <c r="R26">
        <v>4</v>
      </c>
      <c r="S26">
        <v>3</v>
      </c>
      <c r="T26" s="1" t="s">
        <v>173</v>
      </c>
      <c r="U26" s="1" t="s">
        <v>174</v>
      </c>
      <c r="V26">
        <f t="shared" si="0"/>
        <v>6024.7181999999557</v>
      </c>
    </row>
    <row r="27" spans="1:25" x14ac:dyDescent="0.5">
      <c r="A27" t="s">
        <v>175</v>
      </c>
      <c r="B27">
        <v>1</v>
      </c>
      <c r="C27">
        <v>0</v>
      </c>
      <c r="D27" t="b">
        <v>1</v>
      </c>
      <c r="E27">
        <v>100</v>
      </c>
      <c r="F27">
        <v>100</v>
      </c>
      <c r="G27">
        <v>1</v>
      </c>
      <c r="H27">
        <v>666</v>
      </c>
      <c r="I27">
        <v>33</v>
      </c>
      <c r="J27" s="1" t="s">
        <v>176</v>
      </c>
      <c r="K27">
        <v>1012</v>
      </c>
      <c r="L27">
        <v>185</v>
      </c>
      <c r="M27">
        <v>2851.0453000000098</v>
      </c>
      <c r="N27">
        <v>626</v>
      </c>
      <c r="O27">
        <v>65</v>
      </c>
      <c r="P27" s="1" t="s">
        <v>177</v>
      </c>
      <c r="Q27">
        <v>5</v>
      </c>
      <c r="R27">
        <v>4</v>
      </c>
      <c r="S27">
        <v>4</v>
      </c>
      <c r="T27">
        <v>96</v>
      </c>
      <c r="U27">
        <v>68</v>
      </c>
      <c r="V27">
        <f t="shared" si="0"/>
        <v>4948.1120999999894</v>
      </c>
    </row>
    <row r="28" spans="1:25" x14ac:dyDescent="0.5">
      <c r="A28" t="s">
        <v>178</v>
      </c>
      <c r="B28">
        <v>1</v>
      </c>
      <c r="C28">
        <v>1</v>
      </c>
      <c r="D28" t="b">
        <v>1</v>
      </c>
      <c r="E28">
        <v>0</v>
      </c>
      <c r="F28" s="1" t="s">
        <v>179</v>
      </c>
      <c r="G28">
        <v>1</v>
      </c>
      <c r="H28">
        <v>666</v>
      </c>
      <c r="I28">
        <v>33</v>
      </c>
      <c r="J28" s="1" t="s">
        <v>180</v>
      </c>
      <c r="K28">
        <v>1012</v>
      </c>
      <c r="L28">
        <v>394</v>
      </c>
      <c r="M28" s="1" t="s">
        <v>181</v>
      </c>
      <c r="N28">
        <v>650</v>
      </c>
      <c r="O28">
        <v>65</v>
      </c>
      <c r="P28" s="1" t="s">
        <v>182</v>
      </c>
      <c r="Q28">
        <v>5</v>
      </c>
      <c r="R28">
        <v>4</v>
      </c>
      <c r="S28">
        <v>5</v>
      </c>
      <c r="T28" s="1" t="s">
        <v>183</v>
      </c>
      <c r="U28" s="1" t="s">
        <v>184</v>
      </c>
      <c r="V28">
        <f t="shared" si="0"/>
        <v>7170.649799999961</v>
      </c>
    </row>
    <row r="29" spans="1:25" x14ac:dyDescent="0.5">
      <c r="A29" t="s">
        <v>185</v>
      </c>
      <c r="B29">
        <v>1</v>
      </c>
      <c r="C29">
        <v>0</v>
      </c>
      <c r="D29" t="b">
        <v>1</v>
      </c>
      <c r="E29" s="1" t="s">
        <v>186</v>
      </c>
      <c r="F29">
        <v>20</v>
      </c>
      <c r="G29">
        <v>0</v>
      </c>
      <c r="H29">
        <v>666</v>
      </c>
      <c r="I29">
        <v>33</v>
      </c>
      <c r="J29">
        <v>998.89799999999696</v>
      </c>
      <c r="K29">
        <v>1012</v>
      </c>
      <c r="L29">
        <v>317</v>
      </c>
      <c r="M29" s="1" t="s">
        <v>187</v>
      </c>
      <c r="N29">
        <v>638</v>
      </c>
      <c r="O29">
        <v>65</v>
      </c>
      <c r="P29" s="1" t="s">
        <v>188</v>
      </c>
      <c r="Q29">
        <v>4</v>
      </c>
      <c r="R29">
        <v>5</v>
      </c>
      <c r="S29">
        <v>3</v>
      </c>
      <c r="T29" s="1" t="s">
        <v>189</v>
      </c>
      <c r="U29" s="1" t="s">
        <v>190</v>
      </c>
      <c r="V29">
        <f t="shared" si="0"/>
        <v>6693.3004999999866</v>
      </c>
    </row>
    <row r="30" spans="1:25" x14ac:dyDescent="0.5">
      <c r="A30" t="s">
        <v>191</v>
      </c>
      <c r="B30">
        <v>1</v>
      </c>
      <c r="C30">
        <v>0</v>
      </c>
      <c r="D30" t="b">
        <v>1</v>
      </c>
      <c r="E30" s="1" t="s">
        <v>192</v>
      </c>
      <c r="F30">
        <v>40</v>
      </c>
      <c r="G30">
        <v>1</v>
      </c>
      <c r="H30">
        <v>666</v>
      </c>
      <c r="I30">
        <v>33</v>
      </c>
      <c r="J30" s="1" t="s">
        <v>193</v>
      </c>
      <c r="K30">
        <v>1012</v>
      </c>
      <c r="L30">
        <v>279</v>
      </c>
      <c r="M30" s="1" t="s">
        <v>194</v>
      </c>
      <c r="N30">
        <v>628</v>
      </c>
      <c r="O30">
        <v>65</v>
      </c>
      <c r="P30" s="1" t="s">
        <v>195</v>
      </c>
      <c r="Q30">
        <v>5</v>
      </c>
      <c r="R30">
        <v>5</v>
      </c>
      <c r="S30">
        <v>4</v>
      </c>
      <c r="T30" s="1" t="s">
        <v>196</v>
      </c>
      <c r="U30" s="1" t="s">
        <v>197</v>
      </c>
      <c r="V30">
        <f t="shared" si="0"/>
        <v>5505.1921000000057</v>
      </c>
    </row>
    <row r="31" spans="1:25" x14ac:dyDescent="0.5">
      <c r="A31" t="s">
        <v>198</v>
      </c>
      <c r="B31">
        <v>1</v>
      </c>
      <c r="C31">
        <v>0</v>
      </c>
      <c r="D31" t="b">
        <v>1</v>
      </c>
      <c r="E31" s="1" t="s">
        <v>199</v>
      </c>
      <c r="F31" s="1" t="s">
        <v>93</v>
      </c>
      <c r="G31">
        <v>0</v>
      </c>
      <c r="H31">
        <v>666</v>
      </c>
      <c r="I31">
        <v>33</v>
      </c>
      <c r="J31" s="1" t="s">
        <v>200</v>
      </c>
      <c r="K31">
        <v>1012</v>
      </c>
      <c r="L31">
        <v>295</v>
      </c>
      <c r="M31" s="1" t="s">
        <v>201</v>
      </c>
      <c r="N31">
        <v>637</v>
      </c>
      <c r="O31">
        <v>65</v>
      </c>
      <c r="P31" s="1" t="s">
        <v>202</v>
      </c>
      <c r="Q31">
        <v>2</v>
      </c>
      <c r="R31">
        <v>4</v>
      </c>
      <c r="S31">
        <v>4</v>
      </c>
      <c r="T31" s="1" t="s">
        <v>203</v>
      </c>
      <c r="U31" s="1" t="s">
        <v>204</v>
      </c>
      <c r="V31">
        <f t="shared" si="0"/>
        <v>6117.0147999999845</v>
      </c>
    </row>
    <row r="32" spans="1:25" x14ac:dyDescent="0.5">
      <c r="A32" t="s">
        <v>205</v>
      </c>
      <c r="B32">
        <v>1</v>
      </c>
      <c r="C32">
        <v>1</v>
      </c>
      <c r="D32" t="b">
        <v>1</v>
      </c>
      <c r="E32" s="1" t="s">
        <v>206</v>
      </c>
      <c r="F32">
        <v>0</v>
      </c>
      <c r="G32">
        <v>0</v>
      </c>
      <c r="H32">
        <v>666</v>
      </c>
      <c r="I32">
        <v>33</v>
      </c>
      <c r="J32" s="1" t="s">
        <v>207</v>
      </c>
      <c r="K32">
        <v>1012</v>
      </c>
      <c r="L32">
        <v>163</v>
      </c>
      <c r="M32" s="1" t="s">
        <v>208</v>
      </c>
      <c r="N32">
        <v>639</v>
      </c>
      <c r="O32">
        <v>65</v>
      </c>
      <c r="P32" s="1" t="s">
        <v>209</v>
      </c>
      <c r="Q32">
        <v>4</v>
      </c>
      <c r="R32">
        <v>4</v>
      </c>
      <c r="S32">
        <v>5</v>
      </c>
      <c r="T32" s="1" t="s">
        <v>210</v>
      </c>
      <c r="U32" s="1" t="s">
        <v>211</v>
      </c>
      <c r="V32">
        <f t="shared" si="0"/>
        <v>4975.7584999999435</v>
      </c>
    </row>
    <row r="33" spans="1:22" x14ac:dyDescent="0.5">
      <c r="A33" t="s">
        <v>212</v>
      </c>
      <c r="B33">
        <v>1</v>
      </c>
      <c r="C33">
        <v>1</v>
      </c>
      <c r="D33" t="b">
        <v>1</v>
      </c>
      <c r="E33" s="1" t="s">
        <v>213</v>
      </c>
      <c r="F33">
        <v>0</v>
      </c>
      <c r="G33">
        <v>0</v>
      </c>
      <c r="H33">
        <v>666</v>
      </c>
      <c r="I33">
        <v>33</v>
      </c>
      <c r="J33" s="1" t="s">
        <v>214</v>
      </c>
      <c r="K33">
        <v>1012</v>
      </c>
      <c r="L33">
        <v>215</v>
      </c>
      <c r="M33" s="1" t="s">
        <v>215</v>
      </c>
      <c r="N33">
        <v>618</v>
      </c>
      <c r="O33">
        <v>65</v>
      </c>
      <c r="P33" s="1" t="s">
        <v>216</v>
      </c>
      <c r="Q33">
        <v>2</v>
      </c>
      <c r="R33">
        <v>2</v>
      </c>
      <c r="S33">
        <v>2</v>
      </c>
      <c r="T33" s="1" t="s">
        <v>217</v>
      </c>
      <c r="U33" s="1" t="s">
        <v>218</v>
      </c>
      <c r="V33">
        <f t="shared" si="0"/>
        <v>6223.1571999999896</v>
      </c>
    </row>
    <row r="34" spans="1:22" x14ac:dyDescent="0.5">
      <c r="A34" t="s">
        <v>219</v>
      </c>
      <c r="B34">
        <v>1</v>
      </c>
      <c r="C34">
        <v>1</v>
      </c>
      <c r="D34" t="b">
        <v>1</v>
      </c>
      <c r="E34" s="1" t="s">
        <v>220</v>
      </c>
      <c r="F34">
        <v>50</v>
      </c>
      <c r="G34">
        <v>1</v>
      </c>
      <c r="H34">
        <v>666</v>
      </c>
      <c r="I34">
        <v>33</v>
      </c>
      <c r="J34" s="1" t="s">
        <v>221</v>
      </c>
      <c r="K34">
        <v>1012</v>
      </c>
      <c r="L34">
        <v>160</v>
      </c>
      <c r="M34" s="1" t="s">
        <v>222</v>
      </c>
      <c r="N34">
        <v>623</v>
      </c>
      <c r="O34">
        <v>65</v>
      </c>
      <c r="P34" s="1" t="s">
        <v>223</v>
      </c>
      <c r="Q34">
        <v>5</v>
      </c>
      <c r="R34">
        <v>5</v>
      </c>
      <c r="S34">
        <v>4</v>
      </c>
      <c r="T34" s="1" t="s">
        <v>224</v>
      </c>
      <c r="U34" s="1" t="s">
        <v>225</v>
      </c>
      <c r="V34">
        <f t="shared" si="0"/>
        <v>4489.1112999999723</v>
      </c>
    </row>
    <row r="35" spans="1:22" x14ac:dyDescent="0.5">
      <c r="A35" t="s">
        <v>226</v>
      </c>
      <c r="B35">
        <v>1</v>
      </c>
      <c r="C35">
        <v>1</v>
      </c>
      <c r="D35" t="b">
        <v>1</v>
      </c>
      <c r="E35" s="1" t="s">
        <v>227</v>
      </c>
      <c r="F35" s="1" t="s">
        <v>93</v>
      </c>
      <c r="G35">
        <v>0</v>
      </c>
      <c r="H35">
        <v>666</v>
      </c>
      <c r="I35">
        <v>33</v>
      </c>
      <c r="J35" s="1" t="s">
        <v>228</v>
      </c>
      <c r="K35">
        <v>1012</v>
      </c>
      <c r="L35">
        <v>264</v>
      </c>
      <c r="M35" s="1" t="s">
        <v>229</v>
      </c>
      <c r="N35">
        <v>629</v>
      </c>
      <c r="O35">
        <v>65</v>
      </c>
      <c r="P35" s="1" t="s">
        <v>230</v>
      </c>
      <c r="Q35">
        <v>3</v>
      </c>
      <c r="R35">
        <v>5</v>
      </c>
      <c r="S35">
        <v>5</v>
      </c>
      <c r="T35" s="1" t="s">
        <v>231</v>
      </c>
      <c r="U35" s="1" t="s">
        <v>232</v>
      </c>
      <c r="V35">
        <f t="shared" si="0"/>
        <v>5516.4691999999759</v>
      </c>
    </row>
    <row r="36" spans="1:22" x14ac:dyDescent="0.5">
      <c r="A36" t="s">
        <v>233</v>
      </c>
      <c r="B36">
        <v>1</v>
      </c>
      <c r="C36">
        <v>1</v>
      </c>
      <c r="D36" t="b">
        <v>1</v>
      </c>
      <c r="E36" s="1" t="s">
        <v>234</v>
      </c>
      <c r="F36">
        <v>100</v>
      </c>
      <c r="G36">
        <v>1</v>
      </c>
      <c r="H36">
        <v>666</v>
      </c>
      <c r="I36">
        <v>33</v>
      </c>
      <c r="J36" s="1" t="s">
        <v>235</v>
      </c>
      <c r="K36">
        <v>1012</v>
      </c>
      <c r="L36">
        <v>147</v>
      </c>
      <c r="M36" s="1" t="s">
        <v>236</v>
      </c>
      <c r="N36">
        <v>614</v>
      </c>
      <c r="O36">
        <v>65</v>
      </c>
      <c r="P36">
        <v>1036.3427999999999</v>
      </c>
      <c r="Q36">
        <v>3</v>
      </c>
      <c r="R36">
        <v>4</v>
      </c>
      <c r="S36">
        <v>4</v>
      </c>
      <c r="T36" s="1" t="s">
        <v>237</v>
      </c>
      <c r="U36" s="1" t="s">
        <v>238</v>
      </c>
      <c r="V36">
        <f t="shared" si="0"/>
        <v>4221.7165000000041</v>
      </c>
    </row>
    <row r="37" spans="1:22" x14ac:dyDescent="0.5">
      <c r="A37" t="s">
        <v>239</v>
      </c>
      <c r="B37">
        <v>1</v>
      </c>
      <c r="C37">
        <v>1</v>
      </c>
      <c r="D37" t="b">
        <v>1</v>
      </c>
      <c r="E37" s="1" t="s">
        <v>240</v>
      </c>
      <c r="F37">
        <v>0</v>
      </c>
      <c r="G37">
        <v>1</v>
      </c>
      <c r="H37">
        <v>666</v>
      </c>
      <c r="I37">
        <v>33</v>
      </c>
      <c r="J37" s="1" t="s">
        <v>241</v>
      </c>
      <c r="K37">
        <v>1012</v>
      </c>
      <c r="L37">
        <v>263</v>
      </c>
      <c r="M37" s="1" t="s">
        <v>242</v>
      </c>
      <c r="N37">
        <v>634</v>
      </c>
      <c r="O37">
        <v>65</v>
      </c>
      <c r="P37" s="1" t="s">
        <v>243</v>
      </c>
      <c r="Q37">
        <v>3</v>
      </c>
      <c r="R37">
        <v>4</v>
      </c>
      <c r="S37">
        <v>3</v>
      </c>
      <c r="T37" s="1" t="s">
        <v>244</v>
      </c>
      <c r="U37" s="1" t="s">
        <v>245</v>
      </c>
      <c r="V37">
        <f t="shared" si="0"/>
        <v>5786.7799999999606</v>
      </c>
    </row>
    <row r="38" spans="1:22" x14ac:dyDescent="0.5">
      <c r="A38" t="s">
        <v>246</v>
      </c>
      <c r="B38">
        <v>1</v>
      </c>
      <c r="C38">
        <v>0</v>
      </c>
      <c r="D38" t="b">
        <v>1</v>
      </c>
      <c r="E38" s="1" t="s">
        <v>247</v>
      </c>
      <c r="F38">
        <v>25</v>
      </c>
      <c r="G38">
        <v>1</v>
      </c>
      <c r="H38">
        <v>666</v>
      </c>
      <c r="I38">
        <v>33</v>
      </c>
      <c r="J38" s="1" t="s">
        <v>248</v>
      </c>
      <c r="K38">
        <v>1012</v>
      </c>
      <c r="L38">
        <v>215</v>
      </c>
      <c r="M38" s="1" t="s">
        <v>249</v>
      </c>
      <c r="N38">
        <v>622</v>
      </c>
      <c r="O38">
        <v>65</v>
      </c>
      <c r="P38" s="1" t="s">
        <v>250</v>
      </c>
      <c r="Q38">
        <v>5</v>
      </c>
      <c r="R38">
        <v>5</v>
      </c>
      <c r="S38">
        <v>4</v>
      </c>
      <c r="T38" s="1" t="s">
        <v>251</v>
      </c>
      <c r="U38" s="1" t="s">
        <v>252</v>
      </c>
      <c r="V38">
        <f t="shared" si="0"/>
        <v>5146.2037999999857</v>
      </c>
    </row>
    <row r="39" spans="1:22" x14ac:dyDescent="0.5">
      <c r="A39" t="s">
        <v>253</v>
      </c>
      <c r="B39">
        <v>1</v>
      </c>
      <c r="C39">
        <v>0</v>
      </c>
      <c r="D39" t="b">
        <v>1</v>
      </c>
      <c r="E39" s="1" t="s">
        <v>254</v>
      </c>
      <c r="F39">
        <v>0</v>
      </c>
      <c r="G39">
        <v>1</v>
      </c>
      <c r="H39">
        <v>666</v>
      </c>
      <c r="I39">
        <v>33</v>
      </c>
      <c r="J39" s="1" t="s">
        <v>255</v>
      </c>
      <c r="K39">
        <v>1012</v>
      </c>
      <c r="L39">
        <v>370</v>
      </c>
      <c r="M39" s="1" t="s">
        <v>256</v>
      </c>
      <c r="N39">
        <v>647</v>
      </c>
      <c r="O39">
        <v>65</v>
      </c>
      <c r="P39" s="1" t="s">
        <v>257</v>
      </c>
      <c r="Q39">
        <v>3</v>
      </c>
      <c r="R39">
        <v>4</v>
      </c>
      <c r="S39">
        <v>4</v>
      </c>
      <c r="T39" s="1" t="s">
        <v>258</v>
      </c>
      <c r="U39" s="1" t="s">
        <v>259</v>
      </c>
      <c r="V39">
        <f t="shared" si="0"/>
        <v>7139.0976999999712</v>
      </c>
    </row>
    <row r="40" spans="1:22" x14ac:dyDescent="0.5">
      <c r="A40" t="s">
        <v>260</v>
      </c>
      <c r="B40">
        <v>1</v>
      </c>
      <c r="C40">
        <v>1</v>
      </c>
      <c r="D40" t="b">
        <v>1</v>
      </c>
      <c r="E40">
        <v>0</v>
      </c>
      <c r="F40" s="1" t="s">
        <v>261</v>
      </c>
      <c r="G40">
        <v>1</v>
      </c>
      <c r="H40">
        <v>666</v>
      </c>
      <c r="I40">
        <v>33</v>
      </c>
      <c r="J40" s="1" t="s">
        <v>262</v>
      </c>
      <c r="K40">
        <v>1012</v>
      </c>
      <c r="L40">
        <v>307</v>
      </c>
      <c r="M40" s="1" t="s">
        <v>263</v>
      </c>
      <c r="N40">
        <v>624</v>
      </c>
      <c r="O40">
        <v>65</v>
      </c>
      <c r="P40" s="1" t="s">
        <v>264</v>
      </c>
      <c r="Q40">
        <v>5</v>
      </c>
      <c r="R40">
        <v>4</v>
      </c>
      <c r="S40">
        <v>3</v>
      </c>
      <c r="T40" s="1" t="s">
        <v>265</v>
      </c>
      <c r="U40" s="1" t="s">
        <v>266</v>
      </c>
      <c r="V40">
        <f t="shared" si="0"/>
        <v>6107.6618999999901</v>
      </c>
    </row>
    <row r="41" spans="1:22" x14ac:dyDescent="0.5">
      <c r="A41" t="s">
        <v>267</v>
      </c>
      <c r="B41">
        <v>1</v>
      </c>
      <c r="C41">
        <v>1</v>
      </c>
      <c r="D41" t="b">
        <v>1</v>
      </c>
      <c r="E41" s="1" t="s">
        <v>268</v>
      </c>
      <c r="F41">
        <v>40</v>
      </c>
      <c r="G41">
        <v>1</v>
      </c>
      <c r="H41">
        <v>666</v>
      </c>
      <c r="I41">
        <v>33</v>
      </c>
      <c r="J41" s="1" t="s">
        <v>269</v>
      </c>
      <c r="K41">
        <v>1012</v>
      </c>
      <c r="L41">
        <v>189</v>
      </c>
      <c r="M41" s="1" t="s">
        <v>270</v>
      </c>
      <c r="N41">
        <v>616</v>
      </c>
      <c r="O41">
        <v>65</v>
      </c>
      <c r="P41" s="1" t="s">
        <v>271</v>
      </c>
      <c r="Q41">
        <v>5</v>
      </c>
      <c r="R41">
        <v>5</v>
      </c>
      <c r="S41">
        <v>3</v>
      </c>
      <c r="T41" s="1" t="s">
        <v>272</v>
      </c>
      <c r="U41" s="1" t="s">
        <v>273</v>
      </c>
      <c r="V41">
        <f t="shared" si="0"/>
        <v>5032.5546999999806</v>
      </c>
    </row>
    <row r="42" spans="1:22" x14ac:dyDescent="0.5">
      <c r="A42" t="s">
        <v>274</v>
      </c>
      <c r="B42">
        <v>1</v>
      </c>
      <c r="C42">
        <v>1</v>
      </c>
      <c r="D42" t="b">
        <v>1</v>
      </c>
      <c r="E42" s="1" t="s">
        <v>124</v>
      </c>
      <c r="F42">
        <v>0</v>
      </c>
      <c r="G42">
        <v>0</v>
      </c>
      <c r="H42">
        <v>666</v>
      </c>
      <c r="I42">
        <v>33</v>
      </c>
      <c r="J42" s="1" t="s">
        <v>275</v>
      </c>
      <c r="K42">
        <v>1012</v>
      </c>
      <c r="L42">
        <v>156</v>
      </c>
      <c r="M42" s="1" t="s">
        <v>276</v>
      </c>
      <c r="N42">
        <v>629</v>
      </c>
      <c r="O42">
        <v>65</v>
      </c>
      <c r="P42" s="1" t="s">
        <v>277</v>
      </c>
      <c r="Q42">
        <v>5</v>
      </c>
      <c r="R42">
        <v>5</v>
      </c>
      <c r="S42">
        <v>4</v>
      </c>
      <c r="T42" s="1" t="s">
        <v>278</v>
      </c>
      <c r="U42" s="1" t="s">
        <v>279</v>
      </c>
      <c r="V42">
        <f t="shared" si="0"/>
        <v>5152.4263000000101</v>
      </c>
    </row>
    <row r="43" spans="1:22" x14ac:dyDescent="0.5">
      <c r="A43" t="s">
        <v>280</v>
      </c>
      <c r="B43">
        <v>1</v>
      </c>
      <c r="C43">
        <v>1</v>
      </c>
      <c r="D43" t="b">
        <v>1</v>
      </c>
      <c r="E43">
        <v>82.5</v>
      </c>
      <c r="F43">
        <v>100</v>
      </c>
      <c r="G43">
        <v>1</v>
      </c>
      <c r="H43">
        <v>666</v>
      </c>
      <c r="I43">
        <v>33</v>
      </c>
      <c r="J43" s="1" t="s">
        <v>281</v>
      </c>
      <c r="K43">
        <v>1012</v>
      </c>
      <c r="L43">
        <v>143</v>
      </c>
      <c r="M43" s="1" t="s">
        <v>282</v>
      </c>
      <c r="N43">
        <v>618</v>
      </c>
      <c r="O43">
        <v>65</v>
      </c>
      <c r="P43" s="1" t="s">
        <v>283</v>
      </c>
      <c r="Q43">
        <v>5</v>
      </c>
      <c r="R43">
        <v>4</v>
      </c>
      <c r="S43">
        <v>5</v>
      </c>
      <c r="T43">
        <v>96.25</v>
      </c>
      <c r="U43">
        <v>98.125</v>
      </c>
      <c r="V43">
        <f t="shared" si="0"/>
        <v>4295.5070000000396</v>
      </c>
    </row>
    <row r="44" spans="1:22" x14ac:dyDescent="0.5">
      <c r="A44" t="s">
        <v>284</v>
      </c>
      <c r="B44">
        <v>1</v>
      </c>
      <c r="C44">
        <v>1</v>
      </c>
      <c r="D44" t="b">
        <v>1</v>
      </c>
      <c r="E44" s="1" t="s">
        <v>285</v>
      </c>
      <c r="F44">
        <v>40</v>
      </c>
      <c r="G44">
        <v>1</v>
      </c>
      <c r="H44">
        <v>666</v>
      </c>
      <c r="I44">
        <v>33</v>
      </c>
      <c r="J44" s="1" t="s">
        <v>286</v>
      </c>
      <c r="K44">
        <v>1012</v>
      </c>
      <c r="L44">
        <v>238</v>
      </c>
      <c r="M44" s="1" t="s">
        <v>287</v>
      </c>
      <c r="N44">
        <v>617</v>
      </c>
      <c r="O44">
        <v>65</v>
      </c>
      <c r="P44" s="1" t="s">
        <v>288</v>
      </c>
      <c r="Q44">
        <v>5</v>
      </c>
      <c r="R44">
        <v>5</v>
      </c>
      <c r="S44">
        <v>5</v>
      </c>
      <c r="T44">
        <v>91.334866011181802</v>
      </c>
      <c r="U44" s="1" t="s">
        <v>289</v>
      </c>
      <c r="V44">
        <f t="shared" si="0"/>
        <v>5305.1264999999648</v>
      </c>
    </row>
    <row r="45" spans="1:22" x14ac:dyDescent="0.5">
      <c r="A45" t="s">
        <v>290</v>
      </c>
      <c r="B45">
        <v>1</v>
      </c>
      <c r="C45">
        <v>1</v>
      </c>
      <c r="D45" t="b">
        <v>1</v>
      </c>
      <c r="E45" s="1" t="s">
        <v>291</v>
      </c>
      <c r="F45" s="1" t="s">
        <v>93</v>
      </c>
      <c r="G45">
        <v>0</v>
      </c>
      <c r="H45">
        <v>666</v>
      </c>
      <c r="I45">
        <v>33</v>
      </c>
      <c r="J45" s="1" t="s">
        <v>292</v>
      </c>
      <c r="K45">
        <v>1012</v>
      </c>
      <c r="L45">
        <v>251</v>
      </c>
      <c r="M45">
        <v>3603.1725000000001</v>
      </c>
      <c r="N45">
        <v>643</v>
      </c>
      <c r="O45">
        <v>65</v>
      </c>
      <c r="P45">
        <v>978.86810000002799</v>
      </c>
      <c r="Q45">
        <v>5</v>
      </c>
      <c r="R45">
        <v>4</v>
      </c>
      <c r="S45">
        <v>4</v>
      </c>
      <c r="T45" s="1" t="s">
        <v>293</v>
      </c>
      <c r="U45" s="1" t="s">
        <v>294</v>
      </c>
      <c r="V45">
        <f t="shared" si="0"/>
        <v>5582.5186000000076</v>
      </c>
    </row>
    <row r="46" spans="1:22" x14ac:dyDescent="0.5">
      <c r="A46" t="s">
        <v>295</v>
      </c>
      <c r="B46">
        <v>1</v>
      </c>
      <c r="C46">
        <v>1</v>
      </c>
      <c r="D46" t="b">
        <v>1</v>
      </c>
      <c r="E46">
        <v>100</v>
      </c>
      <c r="F46">
        <v>100</v>
      </c>
      <c r="G46">
        <v>1</v>
      </c>
      <c r="H46">
        <v>666</v>
      </c>
      <c r="I46">
        <v>33</v>
      </c>
      <c r="J46" s="1" t="s">
        <v>296</v>
      </c>
      <c r="K46">
        <v>1012</v>
      </c>
      <c r="L46">
        <v>161</v>
      </c>
      <c r="M46" s="1" t="s">
        <v>297</v>
      </c>
      <c r="N46">
        <v>628</v>
      </c>
      <c r="O46">
        <v>65</v>
      </c>
      <c r="P46" s="1" t="s">
        <v>298</v>
      </c>
      <c r="Q46">
        <v>2</v>
      </c>
      <c r="R46">
        <v>5</v>
      </c>
      <c r="S46">
        <v>5</v>
      </c>
      <c r="T46">
        <v>94</v>
      </c>
      <c r="U46">
        <v>97</v>
      </c>
      <c r="V46">
        <f t="shared" si="0"/>
        <v>4393.9871999999577</v>
      </c>
    </row>
    <row r="47" spans="1:22" x14ac:dyDescent="0.5">
      <c r="A47" t="s">
        <v>299</v>
      </c>
      <c r="B47">
        <v>1</v>
      </c>
      <c r="C47">
        <v>1</v>
      </c>
      <c r="D47" t="b">
        <v>1</v>
      </c>
      <c r="E47" s="1" t="s">
        <v>300</v>
      </c>
      <c r="F47">
        <v>60</v>
      </c>
      <c r="G47">
        <v>1</v>
      </c>
      <c r="H47">
        <v>666</v>
      </c>
      <c r="I47">
        <v>33</v>
      </c>
      <c r="J47" s="1" t="s">
        <v>301</v>
      </c>
      <c r="K47">
        <v>1012</v>
      </c>
      <c r="L47">
        <v>176</v>
      </c>
      <c r="M47" s="1" t="s">
        <v>302</v>
      </c>
      <c r="N47">
        <v>612</v>
      </c>
      <c r="O47">
        <v>65</v>
      </c>
      <c r="P47" s="1" t="s">
        <v>303</v>
      </c>
      <c r="Q47">
        <v>2</v>
      </c>
      <c r="R47">
        <v>4</v>
      </c>
      <c r="S47">
        <v>3</v>
      </c>
      <c r="T47" s="1" t="s">
        <v>304</v>
      </c>
      <c r="U47" s="1" t="s">
        <v>305</v>
      </c>
      <c r="V47">
        <f t="shared" si="0"/>
        <v>4598.1037999999226</v>
      </c>
    </row>
    <row r="48" spans="1:22" x14ac:dyDescent="0.5">
      <c r="A48" t="s">
        <v>306</v>
      </c>
      <c r="B48">
        <v>1</v>
      </c>
      <c r="C48">
        <v>0</v>
      </c>
      <c r="D48" t="b">
        <v>1</v>
      </c>
      <c r="E48">
        <v>96.616161616161605</v>
      </c>
      <c r="F48">
        <v>0</v>
      </c>
      <c r="G48">
        <v>1</v>
      </c>
      <c r="H48">
        <v>666</v>
      </c>
      <c r="I48">
        <v>33</v>
      </c>
      <c r="J48" s="1" t="s">
        <v>307</v>
      </c>
      <c r="K48">
        <v>1012</v>
      </c>
      <c r="L48">
        <v>162</v>
      </c>
      <c r="M48" s="1" t="s">
        <v>308</v>
      </c>
      <c r="N48">
        <v>632</v>
      </c>
      <c r="O48">
        <v>65</v>
      </c>
      <c r="P48" s="1" t="s">
        <v>309</v>
      </c>
      <c r="Q48">
        <v>4</v>
      </c>
      <c r="R48">
        <v>5</v>
      </c>
      <c r="S48">
        <v>4</v>
      </c>
      <c r="T48" s="1" t="s">
        <v>310</v>
      </c>
      <c r="U48" s="1" t="s">
        <v>311</v>
      </c>
      <c r="V48">
        <f t="shared" si="0"/>
        <v>5219.9732999999796</v>
      </c>
    </row>
    <row r="49" spans="1:22" x14ac:dyDescent="0.5">
      <c r="A49" t="s">
        <v>312</v>
      </c>
      <c r="B49">
        <v>1</v>
      </c>
      <c r="C49">
        <v>0</v>
      </c>
      <c r="D49" t="b">
        <v>1</v>
      </c>
      <c r="E49">
        <v>0</v>
      </c>
      <c r="F49" s="1" t="s">
        <v>313</v>
      </c>
      <c r="G49">
        <v>1</v>
      </c>
      <c r="H49">
        <v>666</v>
      </c>
      <c r="I49">
        <v>33</v>
      </c>
      <c r="J49" s="1" t="s">
        <v>314</v>
      </c>
      <c r="K49">
        <v>1012</v>
      </c>
      <c r="L49">
        <v>269</v>
      </c>
      <c r="M49" s="1" t="s">
        <v>315</v>
      </c>
      <c r="N49">
        <v>636</v>
      </c>
      <c r="O49">
        <v>65</v>
      </c>
      <c r="P49" s="1" t="s">
        <v>316</v>
      </c>
      <c r="Q49">
        <v>5</v>
      </c>
      <c r="R49">
        <v>5</v>
      </c>
      <c r="S49">
        <v>3</v>
      </c>
      <c r="T49" s="1" t="s">
        <v>317</v>
      </c>
      <c r="U49" s="1" t="s">
        <v>318</v>
      </c>
      <c r="V49">
        <f t="shared" si="0"/>
        <v>6293.8324999998786</v>
      </c>
    </row>
    <row r="50" spans="1:22" x14ac:dyDescent="0.5">
      <c r="A50" t="s">
        <v>319</v>
      </c>
      <c r="B50">
        <v>1</v>
      </c>
      <c r="C50">
        <v>0</v>
      </c>
      <c r="D50" t="b">
        <v>1</v>
      </c>
      <c r="E50" s="1" t="s">
        <v>320</v>
      </c>
      <c r="F50">
        <v>0</v>
      </c>
      <c r="G50">
        <v>0</v>
      </c>
      <c r="H50">
        <v>666</v>
      </c>
      <c r="I50">
        <v>33</v>
      </c>
      <c r="J50" s="1" t="s">
        <v>321</v>
      </c>
      <c r="K50">
        <v>1012</v>
      </c>
      <c r="L50">
        <v>192</v>
      </c>
      <c r="M50" s="1" t="s">
        <v>322</v>
      </c>
      <c r="N50">
        <v>623</v>
      </c>
      <c r="O50">
        <v>65</v>
      </c>
      <c r="P50" s="1" t="s">
        <v>323</v>
      </c>
      <c r="Q50">
        <v>2</v>
      </c>
      <c r="R50">
        <v>0</v>
      </c>
      <c r="S50">
        <v>2</v>
      </c>
      <c r="T50" s="1" t="s">
        <v>324</v>
      </c>
      <c r="U50" s="1" t="s">
        <v>325</v>
      </c>
      <c r="V50">
        <f t="shared" si="0"/>
        <v>5364.3147999999819</v>
      </c>
    </row>
    <row r="51" spans="1:22" x14ac:dyDescent="0.5">
      <c r="A51" t="s">
        <v>326</v>
      </c>
      <c r="B51">
        <v>1</v>
      </c>
      <c r="C51">
        <v>1</v>
      </c>
      <c r="D51" t="b">
        <v>1</v>
      </c>
      <c r="E51">
        <v>85.0304383116883</v>
      </c>
      <c r="F51">
        <v>0</v>
      </c>
      <c r="G51">
        <v>1</v>
      </c>
      <c r="H51">
        <v>666</v>
      </c>
      <c r="I51">
        <v>33</v>
      </c>
      <c r="J51" s="1" t="s">
        <v>327</v>
      </c>
      <c r="K51">
        <v>1012</v>
      </c>
      <c r="L51">
        <v>230</v>
      </c>
      <c r="M51" s="1" t="s">
        <v>328</v>
      </c>
      <c r="N51">
        <v>633</v>
      </c>
      <c r="O51">
        <v>65</v>
      </c>
      <c r="P51" s="1" t="s">
        <v>329</v>
      </c>
      <c r="Q51">
        <v>5</v>
      </c>
      <c r="R51">
        <v>5</v>
      </c>
      <c r="S51">
        <v>4</v>
      </c>
      <c r="T51" s="1" t="s">
        <v>330</v>
      </c>
      <c r="U51" s="1" t="s">
        <v>331</v>
      </c>
      <c r="V51">
        <f t="shared" si="0"/>
        <v>5133.8983000000517</v>
      </c>
    </row>
    <row r="52" spans="1:22" x14ac:dyDescent="0.5">
      <c r="A52" t="s">
        <v>332</v>
      </c>
      <c r="B52">
        <v>1</v>
      </c>
      <c r="C52">
        <v>0</v>
      </c>
      <c r="D52" t="b">
        <v>1</v>
      </c>
      <c r="E52" s="1" t="s">
        <v>333</v>
      </c>
      <c r="F52">
        <v>0</v>
      </c>
      <c r="G52">
        <v>1</v>
      </c>
      <c r="H52">
        <v>666</v>
      </c>
      <c r="I52">
        <v>33</v>
      </c>
      <c r="J52">
        <v>930.98830000002397</v>
      </c>
      <c r="K52">
        <v>1012</v>
      </c>
      <c r="L52">
        <v>222</v>
      </c>
      <c r="M52" s="1" t="s">
        <v>334</v>
      </c>
      <c r="N52">
        <v>642</v>
      </c>
      <c r="O52">
        <v>65</v>
      </c>
      <c r="P52" s="1" t="s">
        <v>335</v>
      </c>
      <c r="Q52">
        <v>5</v>
      </c>
      <c r="R52">
        <v>4</v>
      </c>
      <c r="S52">
        <v>4</v>
      </c>
      <c r="T52" s="1" t="s">
        <v>336</v>
      </c>
      <c r="U52" s="1" t="s">
        <v>337</v>
      </c>
      <c r="V52">
        <f t="shared" si="0"/>
        <v>7047.5414000000537</v>
      </c>
    </row>
    <row r="53" spans="1:22" x14ac:dyDescent="0.5">
      <c r="A53" t="s">
        <v>338</v>
      </c>
      <c r="B53">
        <v>1</v>
      </c>
      <c r="C53">
        <v>0</v>
      </c>
      <c r="D53" t="b">
        <v>1</v>
      </c>
      <c r="E53" s="1" t="s">
        <v>339</v>
      </c>
      <c r="F53">
        <v>80</v>
      </c>
      <c r="G53">
        <v>1</v>
      </c>
      <c r="H53">
        <v>666</v>
      </c>
      <c r="I53">
        <v>33</v>
      </c>
      <c r="J53" s="1" t="s">
        <v>340</v>
      </c>
      <c r="K53">
        <v>1012</v>
      </c>
      <c r="L53">
        <v>188</v>
      </c>
      <c r="M53" s="1" t="s">
        <v>341</v>
      </c>
      <c r="N53">
        <v>624</v>
      </c>
      <c r="O53">
        <v>65</v>
      </c>
      <c r="P53" s="1" t="s">
        <v>342</v>
      </c>
      <c r="Q53">
        <v>3</v>
      </c>
      <c r="R53">
        <v>4</v>
      </c>
      <c r="S53">
        <v>4</v>
      </c>
      <c r="T53" s="1" t="s">
        <v>343</v>
      </c>
      <c r="U53" s="1" t="s">
        <v>344</v>
      </c>
      <c r="V53">
        <f t="shared" si="0"/>
        <v>4760.2821999999296</v>
      </c>
    </row>
    <row r="54" spans="1:22" x14ac:dyDescent="0.5">
      <c r="A54" t="s">
        <v>345</v>
      </c>
      <c r="B54">
        <v>1</v>
      </c>
      <c r="C54">
        <v>1</v>
      </c>
      <c r="D54" t="b">
        <v>1</v>
      </c>
      <c r="E54">
        <v>100</v>
      </c>
      <c r="F54">
        <v>100</v>
      </c>
      <c r="G54">
        <v>1</v>
      </c>
      <c r="H54">
        <v>666</v>
      </c>
      <c r="I54">
        <v>33</v>
      </c>
      <c r="J54" s="1" t="s">
        <v>346</v>
      </c>
      <c r="K54">
        <v>1012</v>
      </c>
      <c r="L54">
        <v>142</v>
      </c>
      <c r="M54" s="1" t="s">
        <v>347</v>
      </c>
      <c r="N54">
        <v>611</v>
      </c>
      <c r="O54">
        <v>65</v>
      </c>
      <c r="P54" s="1" t="s">
        <v>348</v>
      </c>
      <c r="Q54">
        <v>5</v>
      </c>
      <c r="R54">
        <v>5</v>
      </c>
      <c r="S54">
        <v>4</v>
      </c>
      <c r="T54">
        <v>98</v>
      </c>
      <c r="U54">
        <v>99</v>
      </c>
      <c r="V54">
        <f t="shared" si="0"/>
        <v>4859.5212000000001</v>
      </c>
    </row>
    <row r="55" spans="1:22" x14ac:dyDescent="0.5">
      <c r="A55" t="s">
        <v>349</v>
      </c>
      <c r="B55">
        <v>1</v>
      </c>
      <c r="C55">
        <v>1</v>
      </c>
      <c r="D55" t="b">
        <v>1</v>
      </c>
      <c r="E55">
        <v>100</v>
      </c>
      <c r="F55">
        <v>0</v>
      </c>
      <c r="G55">
        <v>0</v>
      </c>
      <c r="H55">
        <v>666</v>
      </c>
      <c r="I55">
        <v>33</v>
      </c>
      <c r="J55" s="1" t="s">
        <v>350</v>
      </c>
      <c r="K55">
        <v>1012</v>
      </c>
      <c r="L55">
        <v>149</v>
      </c>
      <c r="M55" s="1" t="s">
        <v>351</v>
      </c>
      <c r="N55">
        <v>628</v>
      </c>
      <c r="O55">
        <v>65</v>
      </c>
      <c r="P55" s="1" t="s">
        <v>352</v>
      </c>
      <c r="Q55">
        <v>5</v>
      </c>
      <c r="R55">
        <v>5</v>
      </c>
      <c r="S55">
        <v>4</v>
      </c>
      <c r="T55">
        <v>38</v>
      </c>
      <c r="U55">
        <v>69</v>
      </c>
      <c r="V55">
        <f t="shared" si="0"/>
        <v>4923.5942999999697</v>
      </c>
    </row>
    <row r="56" spans="1:22" x14ac:dyDescent="0.5">
      <c r="A56" t="s">
        <v>353</v>
      </c>
      <c r="B56">
        <v>1</v>
      </c>
      <c r="C56">
        <v>0</v>
      </c>
      <c r="D56" t="b">
        <v>1</v>
      </c>
      <c r="E56" s="1" t="s">
        <v>354</v>
      </c>
      <c r="F56">
        <v>0</v>
      </c>
      <c r="G56">
        <v>1</v>
      </c>
      <c r="H56">
        <v>666</v>
      </c>
      <c r="I56">
        <v>33</v>
      </c>
      <c r="J56" s="1" t="s">
        <v>355</v>
      </c>
      <c r="K56">
        <v>1012</v>
      </c>
      <c r="L56">
        <v>139</v>
      </c>
      <c r="M56" s="1" t="s">
        <v>356</v>
      </c>
      <c r="N56">
        <v>616</v>
      </c>
      <c r="O56">
        <v>65</v>
      </c>
      <c r="P56" s="1" t="s">
        <v>357</v>
      </c>
      <c r="Q56">
        <v>4</v>
      </c>
      <c r="R56">
        <v>3</v>
      </c>
      <c r="S56">
        <v>4</v>
      </c>
      <c r="T56" s="1" t="s">
        <v>358</v>
      </c>
      <c r="U56" s="1" t="s">
        <v>359</v>
      </c>
      <c r="V56">
        <f t="shared" si="0"/>
        <v>4639.3143999999702</v>
      </c>
    </row>
    <row r="57" spans="1:22" x14ac:dyDescent="0.5">
      <c r="A57" t="s">
        <v>360</v>
      </c>
      <c r="B57">
        <v>1</v>
      </c>
      <c r="C57">
        <v>1</v>
      </c>
      <c r="D57" t="b">
        <v>1</v>
      </c>
      <c r="E57">
        <v>98.809523809523796</v>
      </c>
      <c r="F57" s="1" t="s">
        <v>29</v>
      </c>
      <c r="G57">
        <v>0</v>
      </c>
      <c r="H57">
        <v>666</v>
      </c>
      <c r="I57">
        <v>33</v>
      </c>
      <c r="J57" s="1" t="s">
        <v>361</v>
      </c>
      <c r="K57">
        <v>1012</v>
      </c>
      <c r="L57">
        <v>201</v>
      </c>
      <c r="M57" s="1" t="s">
        <v>362</v>
      </c>
      <c r="N57">
        <v>618</v>
      </c>
      <c r="O57">
        <v>65</v>
      </c>
      <c r="P57" s="1" t="s">
        <v>363</v>
      </c>
      <c r="Q57">
        <v>4</v>
      </c>
      <c r="R57">
        <v>4</v>
      </c>
      <c r="S57">
        <v>4</v>
      </c>
      <c r="T57" s="1" t="s">
        <v>364</v>
      </c>
      <c r="U57" s="1" t="s">
        <v>365</v>
      </c>
      <c r="V57">
        <f t="shared" si="0"/>
        <v>5209.834499999989</v>
      </c>
    </row>
    <row r="58" spans="1:22" x14ac:dyDescent="0.5">
      <c r="A58" t="s">
        <v>366</v>
      </c>
      <c r="B58">
        <v>1</v>
      </c>
      <c r="C58">
        <v>1</v>
      </c>
      <c r="D58" t="b">
        <v>1</v>
      </c>
      <c r="E58" s="1" t="s">
        <v>367</v>
      </c>
      <c r="F58" s="1" t="s">
        <v>93</v>
      </c>
      <c r="G58">
        <v>1</v>
      </c>
      <c r="H58">
        <v>666</v>
      </c>
      <c r="I58">
        <v>33</v>
      </c>
      <c r="J58" s="1" t="s">
        <v>368</v>
      </c>
      <c r="K58">
        <v>1012</v>
      </c>
      <c r="L58">
        <v>268</v>
      </c>
      <c r="M58" s="1" t="s">
        <v>369</v>
      </c>
      <c r="N58">
        <v>621</v>
      </c>
      <c r="O58">
        <v>65</v>
      </c>
      <c r="P58" s="1" t="s">
        <v>370</v>
      </c>
      <c r="Q58">
        <v>5</v>
      </c>
      <c r="R58">
        <v>4</v>
      </c>
      <c r="S58">
        <v>4</v>
      </c>
      <c r="T58" s="1" t="s">
        <v>371</v>
      </c>
      <c r="U58" s="1" t="s">
        <v>372</v>
      </c>
      <c r="V58">
        <f t="shared" si="0"/>
        <v>5763.8784999999616</v>
      </c>
    </row>
    <row r="59" spans="1:22" x14ac:dyDescent="0.5">
      <c r="A59" t="s">
        <v>373</v>
      </c>
      <c r="B59">
        <v>1</v>
      </c>
      <c r="C59">
        <v>0</v>
      </c>
      <c r="D59" t="b">
        <v>1</v>
      </c>
      <c r="E59" s="1" t="s">
        <v>374</v>
      </c>
      <c r="F59">
        <v>0</v>
      </c>
      <c r="G59">
        <v>0</v>
      </c>
      <c r="H59">
        <v>666</v>
      </c>
      <c r="I59">
        <v>33</v>
      </c>
      <c r="J59" s="1" t="s">
        <v>375</v>
      </c>
      <c r="K59">
        <v>1012</v>
      </c>
      <c r="L59">
        <v>164</v>
      </c>
      <c r="M59" s="1" t="s">
        <v>376</v>
      </c>
      <c r="N59">
        <v>626</v>
      </c>
      <c r="O59">
        <v>65</v>
      </c>
      <c r="P59" s="1" t="s">
        <v>377</v>
      </c>
      <c r="Q59">
        <v>3</v>
      </c>
      <c r="R59">
        <v>5</v>
      </c>
      <c r="S59">
        <v>4</v>
      </c>
      <c r="T59" s="1" t="s">
        <v>378</v>
      </c>
      <c r="U59" s="1" t="s">
        <v>379</v>
      </c>
      <c r="V59">
        <f t="shared" si="0"/>
        <v>4166.0824000000403</v>
      </c>
    </row>
    <row r="60" spans="1:22" x14ac:dyDescent="0.5">
      <c r="A60" t="s">
        <v>380</v>
      </c>
      <c r="B60">
        <v>1</v>
      </c>
      <c r="C60">
        <v>1</v>
      </c>
      <c r="D60" t="b">
        <v>1</v>
      </c>
      <c r="E60" s="1" t="s">
        <v>381</v>
      </c>
      <c r="F60">
        <v>20</v>
      </c>
      <c r="G60">
        <v>1</v>
      </c>
      <c r="H60">
        <v>666</v>
      </c>
      <c r="I60">
        <v>33</v>
      </c>
      <c r="J60" s="1" t="s">
        <v>382</v>
      </c>
      <c r="K60">
        <v>1012</v>
      </c>
      <c r="L60">
        <v>260</v>
      </c>
      <c r="M60" s="1" t="s">
        <v>383</v>
      </c>
      <c r="N60">
        <v>637</v>
      </c>
      <c r="O60">
        <v>65</v>
      </c>
      <c r="P60" s="1" t="s">
        <v>384</v>
      </c>
      <c r="Q60">
        <v>5</v>
      </c>
      <c r="R60">
        <v>5</v>
      </c>
      <c r="S60">
        <v>4</v>
      </c>
      <c r="T60" s="1" t="s">
        <v>385</v>
      </c>
      <c r="U60" s="1" t="s">
        <v>386</v>
      </c>
      <c r="V60">
        <f t="shared" si="0"/>
        <v>5547.1990999999971</v>
      </c>
    </row>
    <row r="61" spans="1:22" x14ac:dyDescent="0.5">
      <c r="A61" t="s">
        <v>387</v>
      </c>
      <c r="B61">
        <v>1</v>
      </c>
      <c r="C61">
        <v>1</v>
      </c>
      <c r="D61" t="b">
        <v>1</v>
      </c>
      <c r="E61">
        <v>0</v>
      </c>
      <c r="F61" s="1" t="s">
        <v>261</v>
      </c>
      <c r="G61">
        <v>0</v>
      </c>
      <c r="H61">
        <v>666</v>
      </c>
      <c r="I61">
        <v>33</v>
      </c>
      <c r="J61" s="1" t="s">
        <v>388</v>
      </c>
      <c r="K61">
        <v>1012</v>
      </c>
      <c r="L61">
        <v>291</v>
      </c>
      <c r="M61">
        <v>3869.1203000000201</v>
      </c>
      <c r="N61">
        <v>632</v>
      </c>
      <c r="O61">
        <v>65</v>
      </c>
      <c r="P61" s="1" t="s">
        <v>389</v>
      </c>
      <c r="Q61">
        <v>4</v>
      </c>
      <c r="R61">
        <v>4</v>
      </c>
      <c r="S61">
        <v>4</v>
      </c>
      <c r="T61" s="1" t="s">
        <v>390</v>
      </c>
      <c r="U61" s="1" t="s">
        <v>391</v>
      </c>
      <c r="V61">
        <f t="shared" si="0"/>
        <v>5736.7457999999933</v>
      </c>
    </row>
    <row r="62" spans="1:22" x14ac:dyDescent="0.5">
      <c r="A62" t="s">
        <v>392</v>
      </c>
      <c r="B62">
        <v>1</v>
      </c>
      <c r="C62">
        <v>1</v>
      </c>
      <c r="D62" t="b">
        <v>1</v>
      </c>
      <c r="E62" s="1" t="s">
        <v>393</v>
      </c>
      <c r="F62">
        <v>25</v>
      </c>
      <c r="G62">
        <v>1</v>
      </c>
      <c r="H62">
        <v>666</v>
      </c>
      <c r="I62">
        <v>33</v>
      </c>
      <c r="J62" s="1" t="s">
        <v>394</v>
      </c>
      <c r="K62">
        <v>1012</v>
      </c>
      <c r="L62">
        <v>235</v>
      </c>
      <c r="M62" s="1" t="s">
        <v>395</v>
      </c>
      <c r="N62">
        <v>632</v>
      </c>
      <c r="O62">
        <v>65</v>
      </c>
      <c r="P62">
        <v>1168.4860000000299</v>
      </c>
      <c r="Q62">
        <v>5</v>
      </c>
      <c r="R62">
        <v>4</v>
      </c>
      <c r="S62">
        <v>4</v>
      </c>
      <c r="T62" s="1" t="s">
        <v>396</v>
      </c>
      <c r="U62" s="1" t="s">
        <v>397</v>
      </c>
      <c r="V62">
        <f t="shared" si="0"/>
        <v>5139.5964000000149</v>
      </c>
    </row>
    <row r="63" spans="1:22" x14ac:dyDescent="0.5">
      <c r="A63" t="s">
        <v>398</v>
      </c>
      <c r="B63">
        <v>1</v>
      </c>
      <c r="C63">
        <v>1</v>
      </c>
      <c r="D63" t="b">
        <v>1</v>
      </c>
      <c r="E63">
        <v>84.375</v>
      </c>
      <c r="F63">
        <v>25</v>
      </c>
      <c r="G63">
        <v>1</v>
      </c>
      <c r="H63">
        <v>666</v>
      </c>
      <c r="I63">
        <v>33</v>
      </c>
      <c r="J63">
        <v>933.453199999974</v>
      </c>
      <c r="K63">
        <v>1012</v>
      </c>
      <c r="L63">
        <v>261</v>
      </c>
      <c r="M63" s="1" t="s">
        <v>399</v>
      </c>
      <c r="N63">
        <v>637</v>
      </c>
      <c r="O63">
        <v>65</v>
      </c>
      <c r="P63" s="1" t="s">
        <v>400</v>
      </c>
      <c r="Q63">
        <v>5</v>
      </c>
      <c r="R63">
        <v>5</v>
      </c>
      <c r="S63">
        <v>4</v>
      </c>
      <c r="T63">
        <v>88.9375</v>
      </c>
      <c r="U63">
        <v>94.46875</v>
      </c>
      <c r="V63">
        <f t="shared" si="0"/>
        <v>5966.1540999999215</v>
      </c>
    </row>
    <row r="64" spans="1:22" x14ac:dyDescent="0.5">
      <c r="A64" t="s">
        <v>401</v>
      </c>
      <c r="B64">
        <v>1</v>
      </c>
      <c r="C64">
        <v>0</v>
      </c>
      <c r="D64" t="b">
        <v>1</v>
      </c>
      <c r="E64" s="1" t="s">
        <v>402</v>
      </c>
      <c r="F64">
        <v>0</v>
      </c>
      <c r="G64">
        <v>0</v>
      </c>
      <c r="H64">
        <v>666</v>
      </c>
      <c r="I64">
        <v>33</v>
      </c>
      <c r="J64" s="1" t="s">
        <v>403</v>
      </c>
      <c r="K64">
        <v>1012</v>
      </c>
      <c r="L64">
        <v>337</v>
      </c>
      <c r="M64" s="1" t="s">
        <v>404</v>
      </c>
      <c r="N64">
        <v>647</v>
      </c>
      <c r="O64">
        <v>65</v>
      </c>
      <c r="P64" s="1" t="s">
        <v>405</v>
      </c>
      <c r="Q64">
        <v>2</v>
      </c>
      <c r="R64">
        <v>4</v>
      </c>
      <c r="S64">
        <v>3</v>
      </c>
      <c r="T64" s="1" t="s">
        <v>406</v>
      </c>
      <c r="U64" s="1" t="s">
        <v>407</v>
      </c>
      <c r="V64">
        <f t="shared" si="0"/>
        <v>6879.5613999999896</v>
      </c>
    </row>
    <row r="65" spans="1:22" x14ac:dyDescent="0.5">
      <c r="A65" t="s">
        <v>408</v>
      </c>
      <c r="B65">
        <v>1</v>
      </c>
      <c r="C65">
        <v>0</v>
      </c>
      <c r="D65" t="b">
        <v>1</v>
      </c>
      <c r="E65" s="1" t="s">
        <v>409</v>
      </c>
      <c r="F65">
        <v>100</v>
      </c>
      <c r="G65">
        <v>1</v>
      </c>
      <c r="H65">
        <v>666</v>
      </c>
      <c r="I65">
        <v>33</v>
      </c>
      <c r="J65" s="1" t="s">
        <v>410</v>
      </c>
      <c r="K65">
        <v>1012</v>
      </c>
      <c r="L65">
        <v>146</v>
      </c>
      <c r="M65" s="1" t="s">
        <v>411</v>
      </c>
      <c r="N65">
        <v>621</v>
      </c>
      <c r="O65">
        <v>65</v>
      </c>
      <c r="P65" s="1" t="s">
        <v>412</v>
      </c>
      <c r="Q65">
        <v>5</v>
      </c>
      <c r="R65">
        <v>5</v>
      </c>
      <c r="S65">
        <v>5</v>
      </c>
      <c r="T65" s="1" t="s">
        <v>413</v>
      </c>
      <c r="U65" s="1" t="s">
        <v>414</v>
      </c>
      <c r="V65">
        <f t="shared" si="0"/>
        <v>3995.7388999999248</v>
      </c>
    </row>
    <row r="66" spans="1:22" x14ac:dyDescent="0.5">
      <c r="A66" t="s">
        <v>415</v>
      </c>
      <c r="B66">
        <v>1</v>
      </c>
      <c r="C66">
        <v>1</v>
      </c>
      <c r="D66" t="b">
        <v>1</v>
      </c>
      <c r="E66" s="1" t="s">
        <v>416</v>
      </c>
      <c r="F66">
        <v>40</v>
      </c>
      <c r="G66">
        <v>1</v>
      </c>
      <c r="H66">
        <v>666</v>
      </c>
      <c r="I66">
        <v>33</v>
      </c>
      <c r="J66" s="1" t="s">
        <v>417</v>
      </c>
      <c r="K66">
        <v>1012</v>
      </c>
      <c r="L66">
        <v>183</v>
      </c>
      <c r="M66">
        <v>2360.1578999999901</v>
      </c>
      <c r="N66">
        <v>617</v>
      </c>
      <c r="O66">
        <v>65</v>
      </c>
      <c r="P66" s="1" t="s">
        <v>418</v>
      </c>
      <c r="Q66">
        <v>4</v>
      </c>
      <c r="R66">
        <v>3</v>
      </c>
      <c r="S66">
        <v>3</v>
      </c>
      <c r="T66" s="1" t="s">
        <v>419</v>
      </c>
      <c r="U66" s="1" t="s">
        <v>420</v>
      </c>
      <c r="V66">
        <f t="shared" si="0"/>
        <v>4751.0178999999507</v>
      </c>
    </row>
    <row r="67" spans="1:22" x14ac:dyDescent="0.5">
      <c r="A67" t="s">
        <v>421</v>
      </c>
      <c r="B67">
        <v>1</v>
      </c>
      <c r="C67">
        <v>1</v>
      </c>
      <c r="D67" t="b">
        <v>1</v>
      </c>
      <c r="E67">
        <v>86.25</v>
      </c>
      <c r="F67" s="1" t="s">
        <v>93</v>
      </c>
      <c r="G67">
        <v>1</v>
      </c>
      <c r="H67">
        <v>666</v>
      </c>
      <c r="I67">
        <v>33</v>
      </c>
      <c r="J67" s="1" t="s">
        <v>422</v>
      </c>
      <c r="K67">
        <v>1012</v>
      </c>
      <c r="L67">
        <v>233</v>
      </c>
      <c r="M67" s="1" t="s">
        <v>423</v>
      </c>
      <c r="N67">
        <v>621</v>
      </c>
      <c r="O67">
        <v>65</v>
      </c>
      <c r="P67" s="1" t="s">
        <v>424</v>
      </c>
      <c r="Q67">
        <v>5</v>
      </c>
      <c r="R67">
        <v>4</v>
      </c>
      <c r="S67">
        <v>3</v>
      </c>
      <c r="T67" s="1" t="s">
        <v>425</v>
      </c>
      <c r="U67" s="1" t="s">
        <v>426</v>
      </c>
      <c r="V67">
        <f t="shared" ref="V67:V73" si="1">J67+M67+P67</f>
        <v>5207.6265000000512</v>
      </c>
    </row>
    <row r="68" spans="1:22" x14ac:dyDescent="0.5">
      <c r="A68" t="s">
        <v>427</v>
      </c>
      <c r="B68">
        <v>1</v>
      </c>
      <c r="C68">
        <v>1</v>
      </c>
      <c r="D68" t="b">
        <v>1</v>
      </c>
      <c r="E68" s="1" t="s">
        <v>428</v>
      </c>
      <c r="F68">
        <v>20</v>
      </c>
      <c r="G68">
        <v>0</v>
      </c>
      <c r="H68">
        <v>666</v>
      </c>
      <c r="I68">
        <v>33</v>
      </c>
      <c r="J68" s="1" t="s">
        <v>429</v>
      </c>
      <c r="K68">
        <v>1012</v>
      </c>
      <c r="L68">
        <v>307</v>
      </c>
      <c r="M68">
        <v>3833.9650999999999</v>
      </c>
      <c r="N68">
        <v>643</v>
      </c>
      <c r="O68">
        <v>65</v>
      </c>
      <c r="P68" s="1" t="s">
        <v>430</v>
      </c>
      <c r="Q68">
        <v>4</v>
      </c>
      <c r="R68">
        <v>4</v>
      </c>
      <c r="S68">
        <v>4</v>
      </c>
      <c r="T68" s="1" t="s">
        <v>431</v>
      </c>
      <c r="U68" s="1" t="s">
        <v>432</v>
      </c>
      <c r="V68">
        <f t="shared" si="1"/>
        <v>5912.8471999999774</v>
      </c>
    </row>
    <row r="69" spans="1:22" x14ac:dyDescent="0.5">
      <c r="A69" t="s">
        <v>433</v>
      </c>
      <c r="B69">
        <v>1</v>
      </c>
      <c r="C69">
        <v>0</v>
      </c>
      <c r="D69" t="b">
        <v>1</v>
      </c>
      <c r="E69" s="1" t="s">
        <v>434</v>
      </c>
      <c r="F69">
        <v>50</v>
      </c>
      <c r="G69">
        <v>1</v>
      </c>
      <c r="H69">
        <v>666</v>
      </c>
      <c r="I69">
        <v>33</v>
      </c>
      <c r="J69" s="1" t="s">
        <v>435</v>
      </c>
      <c r="K69">
        <v>1012</v>
      </c>
      <c r="L69">
        <v>158</v>
      </c>
      <c r="M69" s="1" t="s">
        <v>436</v>
      </c>
      <c r="N69">
        <v>619</v>
      </c>
      <c r="O69">
        <v>65</v>
      </c>
      <c r="P69" s="1" t="s">
        <v>437</v>
      </c>
      <c r="Q69">
        <v>3</v>
      </c>
      <c r="R69">
        <v>5</v>
      </c>
      <c r="S69">
        <v>4</v>
      </c>
      <c r="T69" s="1" t="s">
        <v>438</v>
      </c>
      <c r="U69" s="1" t="s">
        <v>439</v>
      </c>
      <c r="V69">
        <f t="shared" si="1"/>
        <v>4649.3848000000507</v>
      </c>
    </row>
    <row r="70" spans="1:22" x14ac:dyDescent="0.5">
      <c r="A70" t="s">
        <v>440</v>
      </c>
      <c r="B70">
        <v>1</v>
      </c>
      <c r="C70">
        <v>1</v>
      </c>
      <c r="D70" t="b">
        <v>1</v>
      </c>
      <c r="E70" s="1" t="s">
        <v>441</v>
      </c>
      <c r="F70" s="1" t="s">
        <v>29</v>
      </c>
      <c r="G70">
        <v>0</v>
      </c>
      <c r="H70">
        <v>666</v>
      </c>
      <c r="I70">
        <v>33</v>
      </c>
      <c r="J70" s="1" t="s">
        <v>442</v>
      </c>
      <c r="K70">
        <v>1012</v>
      </c>
      <c r="L70">
        <v>262</v>
      </c>
      <c r="M70" s="1" t="s">
        <v>443</v>
      </c>
      <c r="N70">
        <v>623</v>
      </c>
      <c r="O70">
        <v>65</v>
      </c>
      <c r="P70" s="1" t="s">
        <v>444</v>
      </c>
      <c r="Q70">
        <v>4</v>
      </c>
      <c r="R70">
        <v>4</v>
      </c>
      <c r="S70">
        <v>2</v>
      </c>
      <c r="T70" s="1" t="s">
        <v>445</v>
      </c>
      <c r="U70" s="1" t="s">
        <v>446</v>
      </c>
      <c r="V70">
        <f t="shared" si="1"/>
        <v>5270.9965999999204</v>
      </c>
    </row>
    <row r="71" spans="1:22" x14ac:dyDescent="0.5">
      <c r="A71" t="s">
        <v>447</v>
      </c>
      <c r="B71">
        <v>1</v>
      </c>
      <c r="C71">
        <v>1</v>
      </c>
      <c r="D71" t="b">
        <v>1</v>
      </c>
      <c r="E71" s="1" t="s">
        <v>448</v>
      </c>
      <c r="F71">
        <v>0</v>
      </c>
      <c r="G71">
        <v>1</v>
      </c>
      <c r="H71">
        <v>666</v>
      </c>
      <c r="I71">
        <v>33</v>
      </c>
      <c r="J71" s="1" t="s">
        <v>449</v>
      </c>
      <c r="K71">
        <v>1012</v>
      </c>
      <c r="L71">
        <v>242</v>
      </c>
      <c r="M71" s="1" t="s">
        <v>450</v>
      </c>
      <c r="N71">
        <v>641</v>
      </c>
      <c r="O71">
        <v>65</v>
      </c>
      <c r="P71" s="1" t="s">
        <v>451</v>
      </c>
      <c r="Q71">
        <v>5</v>
      </c>
      <c r="R71">
        <v>4</v>
      </c>
      <c r="S71">
        <v>4</v>
      </c>
      <c r="T71" s="1" t="s">
        <v>452</v>
      </c>
      <c r="U71" s="1" t="s">
        <v>453</v>
      </c>
      <c r="V71">
        <f t="shared" si="1"/>
        <v>6174.9852999999885</v>
      </c>
    </row>
    <row r="72" spans="1:22" x14ac:dyDescent="0.5">
      <c r="A72" t="s">
        <v>454</v>
      </c>
      <c r="B72">
        <v>1</v>
      </c>
      <c r="C72">
        <v>1</v>
      </c>
      <c r="D72" t="b">
        <v>1</v>
      </c>
      <c r="E72" s="1" t="s">
        <v>455</v>
      </c>
      <c r="F72">
        <v>0</v>
      </c>
      <c r="G72">
        <v>1</v>
      </c>
      <c r="H72">
        <v>666</v>
      </c>
      <c r="I72">
        <v>33</v>
      </c>
      <c r="J72" s="1" t="s">
        <v>456</v>
      </c>
      <c r="K72">
        <v>1012</v>
      </c>
      <c r="L72">
        <v>240</v>
      </c>
      <c r="M72" s="1" t="s">
        <v>457</v>
      </c>
      <c r="N72">
        <v>642</v>
      </c>
      <c r="O72">
        <v>65</v>
      </c>
      <c r="P72" s="1" t="s">
        <v>458</v>
      </c>
      <c r="Q72">
        <v>4</v>
      </c>
      <c r="R72">
        <v>5</v>
      </c>
      <c r="S72">
        <v>4</v>
      </c>
      <c r="T72" s="1" t="s">
        <v>459</v>
      </c>
      <c r="U72" s="1" t="s">
        <v>460</v>
      </c>
      <c r="V72">
        <f t="shared" si="1"/>
        <v>5385.9472999999807</v>
      </c>
    </row>
    <row r="73" spans="1:22" x14ac:dyDescent="0.5">
      <c r="A73" t="s">
        <v>461</v>
      </c>
      <c r="B73">
        <v>1</v>
      </c>
      <c r="C73">
        <v>0</v>
      </c>
      <c r="D73" t="b">
        <v>1</v>
      </c>
      <c r="E73" s="1" t="s">
        <v>462</v>
      </c>
      <c r="F73">
        <v>0</v>
      </c>
      <c r="G73">
        <v>1</v>
      </c>
      <c r="H73">
        <v>666</v>
      </c>
      <c r="I73">
        <v>33</v>
      </c>
      <c r="J73" s="1" t="s">
        <v>463</v>
      </c>
      <c r="K73">
        <v>1012</v>
      </c>
      <c r="L73">
        <v>260</v>
      </c>
      <c r="M73" s="1" t="s">
        <v>464</v>
      </c>
      <c r="N73">
        <v>645</v>
      </c>
      <c r="O73">
        <v>65</v>
      </c>
      <c r="P73" s="1" t="s">
        <v>465</v>
      </c>
      <c r="Q73">
        <v>4</v>
      </c>
      <c r="R73">
        <v>4</v>
      </c>
      <c r="S73">
        <v>3</v>
      </c>
      <c r="T73" s="1" t="s">
        <v>466</v>
      </c>
      <c r="U73" s="1" t="s">
        <v>467</v>
      </c>
      <c r="V73">
        <f t="shared" si="1"/>
        <v>5199.8967999999641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93097-8841-45CC-9526-9B800F9B0FAD}">
  <dimension ref="A6:D12"/>
  <sheetViews>
    <sheetView workbookViewId="0">
      <selection activeCell="B13" sqref="B13"/>
    </sheetView>
  </sheetViews>
  <sheetFormatPr defaultRowHeight="14.35" x14ac:dyDescent="0.5"/>
  <cols>
    <col min="1" max="1" width="18.05859375" customWidth="1"/>
    <col min="3" max="3" width="15.05859375" customWidth="1"/>
  </cols>
  <sheetData>
    <row r="6" spans="1:4" x14ac:dyDescent="0.5">
      <c r="C6" t="s">
        <v>468</v>
      </c>
      <c r="D6" t="s">
        <v>469</v>
      </c>
    </row>
    <row r="7" spans="1:4" x14ac:dyDescent="0.5">
      <c r="C7" t="s">
        <v>470</v>
      </c>
      <c r="D7" t="s">
        <v>471</v>
      </c>
    </row>
    <row r="9" spans="1:4" x14ac:dyDescent="0.5">
      <c r="A9" t="s">
        <v>472</v>
      </c>
      <c r="B9" t="s">
        <v>475</v>
      </c>
    </row>
    <row r="10" spans="1:4" x14ac:dyDescent="0.5">
      <c r="A10" t="s">
        <v>473</v>
      </c>
      <c r="B10" t="s">
        <v>475</v>
      </c>
    </row>
    <row r="11" spans="1:4" x14ac:dyDescent="0.5">
      <c r="A11" t="s">
        <v>474</v>
      </c>
      <c r="B11" t="s">
        <v>475</v>
      </c>
    </row>
    <row r="12" spans="1:4" x14ac:dyDescent="0.5">
      <c r="A12" t="s">
        <v>476</v>
      </c>
      <c r="B12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final_master_report</vt:lpstr>
      <vt:lpstr>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Basera</dc:creator>
  <cp:lastModifiedBy>Sahil Basera</cp:lastModifiedBy>
  <dcterms:created xsi:type="dcterms:W3CDTF">2026-03-14T01:33:21Z</dcterms:created>
  <dcterms:modified xsi:type="dcterms:W3CDTF">2026-03-15T20:10:19Z</dcterms:modified>
</cp:coreProperties>
</file>