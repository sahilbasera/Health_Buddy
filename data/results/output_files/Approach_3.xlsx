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Interviews\OpenAI\Take_Home\data\results\output_files\"/>
    </mc:Choice>
  </mc:AlternateContent>
  <xr:revisionPtr revIDLastSave="0" documentId="13_ncr:1_{56C0D10B-EE78-44DC-A24C-626FA1EDE724}" xr6:coauthVersionLast="47" xr6:coauthVersionMax="47" xr10:uidLastSave="{00000000-0000-0000-0000-000000000000}"/>
  <bookViews>
    <workbookView xWindow="-93" yWindow="-93" windowWidth="25786" windowHeight="13866" xr2:uid="{CD6174EB-D86B-4ADE-AD5E-D8FAD240DD63}"/>
  </bookViews>
  <sheets>
    <sheet name="final_master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" i="1" l="1"/>
  <c r="AA14" i="1"/>
  <c r="AA13" i="1"/>
  <c r="AA9" i="1"/>
  <c r="AA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AA4" i="1"/>
  <c r="AA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2" i="1"/>
</calcChain>
</file>

<file path=xl/sharedStrings.xml><?xml version="1.0" encoding="utf-8"?>
<sst xmlns="http://schemas.openxmlformats.org/spreadsheetml/2006/main" count="474" uniqueCount="466">
  <si>
    <t>json_name</t>
  </si>
  <si>
    <t>guardrail_score</t>
  </si>
  <si>
    <t>safety_score</t>
  </si>
  <si>
    <t>is_food</t>
  </si>
  <si>
    <t>macros_score</t>
  </si>
  <si>
    <t>ingredients_score</t>
  </si>
  <si>
    <t>recommendation_score</t>
  </si>
  <si>
    <t>guardrail_input_tokens</t>
  </si>
  <si>
    <t>guardrail_output_tokens</t>
  </si>
  <si>
    <t>guardrail_latency</t>
  </si>
  <si>
    <t>inference_input_tokens</t>
  </si>
  <si>
    <t>inference_output_tokens</t>
  </si>
  <si>
    <t>inference_latency</t>
  </si>
  <si>
    <t>safetychecks_input_tokens</t>
  </si>
  <si>
    <t>safetychecks_output_tokens</t>
  </si>
  <si>
    <t>safetychecks_latency</t>
  </si>
  <si>
    <t>Guidance_Quality</t>
  </si>
  <si>
    <t>Description_Quality</t>
  </si>
  <si>
    <t>Meal Title Quality</t>
  </si>
  <si>
    <t>meal_analysis_score</t>
  </si>
  <si>
    <t>Final_Score</t>
  </si>
  <si>
    <t>upload_1749840444495_ce8fbfbc-988e-4ee6-9e52-d7ebdf4a58bc.jpeg</t>
  </si>
  <si>
    <t>44.57671957671957</t>
  </si>
  <si>
    <t>66.66666666666666</t>
  </si>
  <si>
    <t>2334.1696999999995</t>
  </si>
  <si>
    <t>700.1140999999996</t>
  </si>
  <si>
    <t>83.12433862433862</t>
  </si>
  <si>
    <t>91.56216931216932</t>
  </si>
  <si>
    <t>upload_1749840712880_d8cedf37-9bdb-4ff5-8e21-6a6a740ae409.jpeg</t>
  </si>
  <si>
    <t>90.02976190476191</t>
  </si>
  <si>
    <t>1359.4229000000005</t>
  </si>
  <si>
    <t>35.669642857142854</t>
  </si>
  <si>
    <t>67.83482142857143</t>
  </si>
  <si>
    <t>upload_1749840740344_7e95ee66-1e26-4892-9ce4-b79960061c19.jpeg</t>
  </si>
  <si>
    <t>33.33333333333333</t>
  </si>
  <si>
    <t>1110.5698000000004</t>
  </si>
  <si>
    <t>2106.865899999999</t>
  </si>
  <si>
    <t>876.4541000000002</t>
  </si>
  <si>
    <t>75.33333333333333</t>
  </si>
  <si>
    <t>87.66666666666666</t>
  </si>
  <si>
    <t>upload_1749841037102_96ccbf66-4c05-45dc-8920-fd6ef54fcd0d.jpeg</t>
  </si>
  <si>
    <t>76.72084623323013</t>
  </si>
  <si>
    <t>2023.0256000000004</t>
  </si>
  <si>
    <t>776.1470000000018</t>
  </si>
  <si>
    <t>85.67208462332302</t>
  </si>
  <si>
    <t>92.83604231166152</t>
  </si>
  <si>
    <t>upload_1749841435404_d2ac9183-048d-4cec-9b9b-a878628e4b30.jpeg</t>
  </si>
  <si>
    <t>66.66666666666667</t>
  </si>
  <si>
    <t>640.7641000000019</t>
  </si>
  <si>
    <t>91.33333333333333</t>
  </si>
  <si>
    <t>95.66666666666666</t>
  </si>
  <si>
    <t>upload_1749841861682_5e0c8e9d-bcff-4db4-bd59-62aa98119dec.jpeg</t>
  </si>
  <si>
    <t>1168.4783000000002</t>
  </si>
  <si>
    <t>2031.6097999999984</t>
  </si>
  <si>
    <t>824.5009000000003</t>
  </si>
  <si>
    <t>upload_1749843287038_40cbba8a-21fa-447a-88ce-54e9d8f8708a.jpeg</t>
  </si>
  <si>
    <t>63.888888888888886</t>
  </si>
  <si>
    <t>988.3595000000014</t>
  </si>
  <si>
    <t>2123.551800000001</t>
  </si>
  <si>
    <t>708.0367999999986</t>
  </si>
  <si>
    <t>30.88888888888889</t>
  </si>
  <si>
    <t>65.44444444444444</t>
  </si>
  <si>
    <t>upload_1749843713632_58c8331c-7aec-4895-a51b-cb92988cade5.jpeg</t>
  </si>
  <si>
    <t>2167.291899999999</t>
  </si>
  <si>
    <t>647.0298000000021</t>
  </si>
  <si>
    <t>upload_1749850518596_ae5c6336-732a-432f-a1c1-a64db860a708.jpeg</t>
  </si>
  <si>
    <t>76.08805668016194</t>
  </si>
  <si>
    <t>815.2227000000032</t>
  </si>
  <si>
    <t>1586.1401000000014</t>
  </si>
  <si>
    <t>684.0821000000049</t>
  </si>
  <si>
    <t>83.60880566801619</t>
  </si>
  <si>
    <t>upload_1749865296179_d1a4da8d-8804-480e-b835-072f845e11f8.jpeg</t>
  </si>
  <si>
    <t>3047.1959999999995</t>
  </si>
  <si>
    <t>678.6506000000045</t>
  </si>
  <si>
    <t>80.62733314479638</t>
  </si>
  <si>
    <t>90.31366657239819</t>
  </si>
  <si>
    <t>upload_1749869835174_55f1390a-6ea3-4033-a016-b8a4c30d28a1.jpeg</t>
  </si>
  <si>
    <t>45.93444749694751</t>
  </si>
  <si>
    <t>2558.4927999999964</t>
  </si>
  <si>
    <t>850.5351000000019</t>
  </si>
  <si>
    <t>31.593444749694754</t>
  </si>
  <si>
    <t>65.79672237484738</t>
  </si>
  <si>
    <t>upload_1749872693154_5d23dac1-9118-4776-ad69-9853f8e513fa.jpeg</t>
  </si>
  <si>
    <t>86.31532940743467</t>
  </si>
  <si>
    <t>899.8574000000019</t>
  </si>
  <si>
    <t>2000.516300000001</t>
  </si>
  <si>
    <t>990.9650999999968</t>
  </si>
  <si>
    <t>upload_1749875264239_2a7fbe6a-e779-46e6-ac22-82d88a66ea3c.jpeg</t>
  </si>
  <si>
    <t>1680.8467000000037</t>
  </si>
  <si>
    <t>1590.5391000000009</t>
  </si>
  <si>
    <t>648.9541999999985</t>
  </si>
  <si>
    <t>88.73579545454545</t>
  </si>
  <si>
    <t>upload_1750038317524_55c71fd4-30e1-4e8b-93f8-86e6094f31b3.jpeg</t>
  </si>
  <si>
    <t>48.26311899482632</t>
  </si>
  <si>
    <t>1381.6229000000037</t>
  </si>
  <si>
    <t>2273.2354999999984</t>
  </si>
  <si>
    <t>619.1324999999993</t>
  </si>
  <si>
    <t>80.82631189948263</t>
  </si>
  <si>
    <t>90.41315594974131</t>
  </si>
  <si>
    <t>upload_1750038497319_6a3082e9-034c-4015-9eeb-9545000073c9.jpeg</t>
  </si>
  <si>
    <t>58.43267882187938</t>
  </si>
  <si>
    <t>740.8799999999972</t>
  </si>
  <si>
    <t>1710.1074999999994</t>
  </si>
  <si>
    <t>703.4659999999988</t>
  </si>
  <si>
    <t>35.84326788218794</t>
  </si>
  <si>
    <t>37.92163394109397</t>
  </si>
  <si>
    <t>upload_1750091798026_6bfd2714-28cc-4f8e-9df2-8ceb92a5a071.jpeg</t>
  </si>
  <si>
    <t>93.56060606060606</t>
  </si>
  <si>
    <t>16.666666666666664</t>
  </si>
  <si>
    <t>870.1866999999979</t>
  </si>
  <si>
    <t>2726.565600000001</t>
  </si>
  <si>
    <t>708.4429000000014</t>
  </si>
  <si>
    <t>91.02272727272728</t>
  </si>
  <si>
    <t>95.51136363636364</t>
  </si>
  <si>
    <t>upload_1750097681033_c71afe76-f144-4a19-9dd3-19a1178957f4.jpeg</t>
  </si>
  <si>
    <t>56.66666666666666</t>
  </si>
  <si>
    <t>551.2312999999978</t>
  </si>
  <si>
    <t>1694.101900000007</t>
  </si>
  <si>
    <t>662.7948999999944</t>
  </si>
  <si>
    <t>21.666666666666664</t>
  </si>
  <si>
    <t>60.83333333333333</t>
  </si>
  <si>
    <t>upload_1750097765140_1dccfd72-61d7-462c-b163-f5b7c348b547.jpeg</t>
  </si>
  <si>
    <t>97.25274725274726</t>
  </si>
  <si>
    <t>541.1057999999969</t>
  </si>
  <si>
    <t>2501.958099999996</t>
  </si>
  <si>
    <t>611.2523999999979</t>
  </si>
  <si>
    <t>31.725274725274726</t>
  </si>
  <si>
    <t>65.86263736263737</t>
  </si>
  <si>
    <t>upload_1750097815654_0a961795-6af4-447c-a0a5-71f98ea66240.jpeg</t>
  </si>
  <si>
    <t>1031.6674000000037</t>
  </si>
  <si>
    <t>1959.892400000001</t>
  </si>
  <si>
    <t>572.0986000000039</t>
  </si>
  <si>
    <t>upload_1750097849597_00cf91d6-e95f-4880-b120-76efe150b1b8.jpeg</t>
  </si>
  <si>
    <t>83.03571428571428</t>
  </si>
  <si>
    <t>1902.6555000000087</t>
  </si>
  <si>
    <t>844.0987000000035</t>
  </si>
  <si>
    <t>89.30357142857143</t>
  </si>
  <si>
    <t>64.65178571428572</t>
  </si>
  <si>
    <t>upload_1750097945898_eefbeb4b-8dda-4ced-a7df-7e653d5c471b.jpeg</t>
  </si>
  <si>
    <t>99.39024390243902</t>
  </si>
  <si>
    <t>1348.4463000000062</t>
  </si>
  <si>
    <t>1571.187699999996</t>
  </si>
  <si>
    <t>1155.2446999999972</t>
  </si>
  <si>
    <t>94.46951219512195</t>
  </si>
  <si>
    <t>upload_1750100382667_e5dd5b7c-5a38-4304-b3a7-d8209c5d59a2.jpeg</t>
  </si>
  <si>
    <t>53.44499250749251</t>
  </si>
  <si>
    <t>1399.4246999999973</t>
  </si>
  <si>
    <t>3029.409400000006</t>
  </si>
  <si>
    <t>753.0536999999953</t>
  </si>
  <si>
    <t>27.34449925074925</t>
  </si>
  <si>
    <t>63.672249625374626</t>
  </si>
  <si>
    <t>upload_1750176632186_7794b8b1-1eec-489d-a7d2-8ff1d8e94e22.jpeg</t>
  </si>
  <si>
    <t>72.53628724216959</t>
  </si>
  <si>
    <t>1118.9266999999886</t>
  </si>
  <si>
    <t>2496.1291999999985</t>
  </si>
  <si>
    <t>866.3679000000002</t>
  </si>
  <si>
    <t>91.25362872421695</t>
  </si>
  <si>
    <t>95.62681436210848</t>
  </si>
  <si>
    <t>upload_1750180230407_6e49bf45-0e0b-4817-9cb1-2f8e10df6977.jpeg</t>
  </si>
  <si>
    <t>1045.0785000000024</t>
  </si>
  <si>
    <t>1695.5052999999934</t>
  </si>
  <si>
    <t>886.6964999999993</t>
  </si>
  <si>
    <t>upload_1750180679848_2b308ff1-fe70-46bb-b6a4-e1ef01c9d181.jpeg</t>
  </si>
  <si>
    <t>53.31890331890333</t>
  </si>
  <si>
    <t>1122.1348999999918</t>
  </si>
  <si>
    <t>2038.3131999999905</t>
  </si>
  <si>
    <t>874.1890000000012</t>
  </si>
  <si>
    <t>29.331890331890335</t>
  </si>
  <si>
    <t>64.66594516594517</t>
  </si>
  <si>
    <t>upload_1750180959631_d9fa7e84-e4ef-4c30-8388-142ae1861f79.jpeg</t>
  </si>
  <si>
    <t>1675.7630000000036</t>
  </si>
  <si>
    <t>833.9883000000015</t>
  </si>
  <si>
    <t>upload_1750182735800_604d3797-d9eb-436f-997f-1d202a9bbcb4.jpeg</t>
  </si>
  <si>
    <t>80.55555555555556</t>
  </si>
  <si>
    <t>28.57142857142857</t>
  </si>
  <si>
    <t>772.3681000000084</t>
  </si>
  <si>
    <t>1362.6283000000114</t>
  </si>
  <si>
    <t>90.91269841269842</t>
  </si>
  <si>
    <t>95.45634920634922</t>
  </si>
  <si>
    <t>upload_1750182831517_fa06a30c-cffc-40b8-9ac3-abc35e1d1635.jpeg</t>
  </si>
  <si>
    <t>35.85134711779448</t>
  </si>
  <si>
    <t>562.7204999999975</t>
  </si>
  <si>
    <t>1369.477400000008</t>
  </si>
  <si>
    <t>706.9275000000061</t>
  </si>
  <si>
    <t>22.58513471177945</t>
  </si>
  <si>
    <t>31.292567355889723</t>
  </si>
  <si>
    <t>upload_1750184236286_fe8af98c-e6e5-4246-8ab1-0ca74e1de489.jpeg</t>
  </si>
  <si>
    <t>76.42496392496393</t>
  </si>
  <si>
    <t>1015.426700000006</t>
  </si>
  <si>
    <t>1630.4199000000067</t>
  </si>
  <si>
    <t>804.7063000000065</t>
  </si>
  <si>
    <t>upload_1750184275147_d931eee9-5024-4f89-94e5-64dc9a094c5a.jpeg</t>
  </si>
  <si>
    <t>56.21279761904763</t>
  </si>
  <si>
    <t>1073.6004999999975</t>
  </si>
  <si>
    <t>2003.2700999999947</t>
  </si>
  <si>
    <t>29.28794642857143</t>
  </si>
  <si>
    <t>64.64397321428572</t>
  </si>
  <si>
    <t>upload_1750184400484_91309b18-e132-459d-8b77-58d388eb7c92.jpeg</t>
  </si>
  <si>
    <t>71.42857142857143</t>
  </si>
  <si>
    <t>1415.3704000000005</t>
  </si>
  <si>
    <t>1852.514400000004</t>
  </si>
  <si>
    <t>829.9425000000014</t>
  </si>
  <si>
    <t>29.142857142857142</t>
  </si>
  <si>
    <t>64.57142857142857</t>
  </si>
  <si>
    <t>upload_1750184519401_0a00994e-1755-4b0c-993b-3fce1d692ca1.jpeg</t>
  </si>
  <si>
    <t>90.67752100840336</t>
  </si>
  <si>
    <t>775.1486000000085</t>
  </si>
  <si>
    <t>1900.1425000000013</t>
  </si>
  <si>
    <t>912.6679000000024</t>
  </si>
  <si>
    <t>92.06775210084034</t>
  </si>
  <si>
    <t>96.03387605042016</t>
  </si>
  <si>
    <t>upload_1750184967001_dcbf0de0-d8c9-473a-96c8-b568b7b5b6ea.jpeg</t>
  </si>
  <si>
    <t>98.86363636363636</t>
  </si>
  <si>
    <t>1346.6913999999974</t>
  </si>
  <si>
    <t>2272.7837999999992</t>
  </si>
  <si>
    <t>865.3972999999979</t>
  </si>
  <si>
    <t>29.886363636363637</t>
  </si>
  <si>
    <t>64.94318181818181</t>
  </si>
  <si>
    <t>upload_1750185016838_9f1b1b2d-edab-473c-8a09-a7ade40c25a4.jpeg</t>
  </si>
  <si>
    <t>88.42437755481234</t>
  </si>
  <si>
    <t>940.1718000000016</t>
  </si>
  <si>
    <t>1669.6857000000025</t>
  </si>
  <si>
    <t>35.842437755481235</t>
  </si>
  <si>
    <t>67.92121887774061</t>
  </si>
  <si>
    <t>upload_1750185057801_517dd09d-f8aa-4e48-93d1-820958817b61.jpeg</t>
  </si>
  <si>
    <t>1396.2153000000228</t>
  </si>
  <si>
    <t>2859.7073999999907</t>
  </si>
  <si>
    <t>843.4123000000113</t>
  </si>
  <si>
    <t>upload_1750258584589_12758bd6-3c31-4ee6-bc2a-564be686406a.jpeg</t>
  </si>
  <si>
    <t>74.24355158730158</t>
  </si>
  <si>
    <t>1018.5874999999952</t>
  </si>
  <si>
    <t>2374.3568999999807</t>
  </si>
  <si>
    <t>837.1131000000105</t>
  </si>
  <si>
    <t>79.42435515873015</t>
  </si>
  <si>
    <t>89.71217757936508</t>
  </si>
  <si>
    <t>upload_1750262216722_694c7c7e-8827-45c3-af60-5558775251dd.jpeg</t>
  </si>
  <si>
    <t>53.86904761904761</t>
  </si>
  <si>
    <t>1196.4749999999924</t>
  </si>
  <si>
    <t>2222.004599999991</t>
  </si>
  <si>
    <t>711.5520000000117</t>
  </si>
  <si>
    <t>83.88690476190476</t>
  </si>
  <si>
    <t>61.94345238095238</t>
  </si>
  <si>
    <t>upload_1750263222856_8d684828-73ea-4ad9-9259-39c31e29f465.jpeg</t>
  </si>
  <si>
    <t>74.11963036963036</t>
  </si>
  <si>
    <t>1599.051899999978</t>
  </si>
  <si>
    <t>2221.987899999988</t>
  </si>
  <si>
    <t>760.1985000000013</t>
  </si>
  <si>
    <t>81.41196303696303</t>
  </si>
  <si>
    <t>90.70598151848151</t>
  </si>
  <si>
    <t>upload_1750386301376_71400aa0-7658-40cd-9027-9a62f8489da7.jpeg</t>
  </si>
  <si>
    <t>81.08766233766234</t>
  </si>
  <si>
    <t>1546.458400000006</t>
  </si>
  <si>
    <t>1720.0563000000102</t>
  </si>
  <si>
    <t>751.2484000000086</t>
  </si>
  <si>
    <t>93.48295454545455</t>
  </si>
  <si>
    <t>upload_1750389951709_09f3f23e-5f56-4581-866f-37234067ea72.jpeg</t>
  </si>
  <si>
    <t>68.05555555555556</t>
  </si>
  <si>
    <t>2051.7710000000025</t>
  </si>
  <si>
    <t>809.9498999999923</t>
  </si>
  <si>
    <t>76.80555555555556</t>
  </si>
  <si>
    <t>88.40277777777777</t>
  </si>
  <si>
    <t>upload_1750709492155_4ebddef6-d4df-46cd-9649-4a335bdbef6b.jpeg</t>
  </si>
  <si>
    <t>99.16666666666669</t>
  </si>
  <si>
    <t>880.9566999999845</t>
  </si>
  <si>
    <t>1464.687099999992</t>
  </si>
  <si>
    <t>720.7602999999949</t>
  </si>
  <si>
    <t>35.91666666666667</t>
  </si>
  <si>
    <t>67.95833333333334</t>
  </si>
  <si>
    <t>upload_1750709512018_7cb970d1-5843-42fe-9f82-10279f27a01a.jpeg</t>
  </si>
  <si>
    <t>905.1806999999884</t>
  </si>
  <si>
    <t>1620.4282999999862</t>
  </si>
  <si>
    <t>634.9695000000111</t>
  </si>
  <si>
    <t>upload_1752265287016_4c47aab8-77a8-42e6-a937-2a4b5be3c7d8.jpeg</t>
  </si>
  <si>
    <t>544.0204999999878</t>
  </si>
  <si>
    <t>2561.007600000011</t>
  </si>
  <si>
    <t>96.88444669365722</t>
  </si>
  <si>
    <t>98.44222334682861</t>
  </si>
  <si>
    <t>upload_1752265511713_bc7c0828-8da5-4880-bd18-4f7ad8a3b18d.jpeg</t>
  </si>
  <si>
    <t>1012.9894000000093</t>
  </si>
  <si>
    <t>2346.6884999999997</t>
  </si>
  <si>
    <t>667.1405000000163</t>
  </si>
  <si>
    <t>38.40972222222222</t>
  </si>
  <si>
    <t>69.20486111111111</t>
  </si>
  <si>
    <t>upload_1752265789773_34d75fc4-0e04-488f-b3f3-d88ffb030604.jpeg</t>
  </si>
  <si>
    <t>1778.2321999999908</t>
  </si>
  <si>
    <t>1625.2901000000008</t>
  </si>
  <si>
    <t>1602.3013999999876</t>
  </si>
  <si>
    <t>upload_1752265818634_e1c146f8-2cbf-4033-ac9f-9b4869fd1d4f.jpeg</t>
  </si>
  <si>
    <t>98.07692307692308</t>
  </si>
  <si>
    <t>484.9658999999917</t>
  </si>
  <si>
    <t>1781.9213999999874</t>
  </si>
  <si>
    <t>94.90384615384616</t>
  </si>
  <si>
    <t>upload_1752265866541_68a737f3-abd3-461c-9b6b-85cb1dfc31c7.jpeg</t>
  </si>
  <si>
    <t>81.46464646464646</t>
  </si>
  <si>
    <t>760.8736999999905</t>
  </si>
  <si>
    <t>1686.9943999999748</t>
  </si>
  <si>
    <t>1034.635800000018</t>
  </si>
  <si>
    <t>26.146464646464647</t>
  </si>
  <si>
    <t>33.073232323232325</t>
  </si>
  <si>
    <t>upload_1752265899911_dcb7943d-bbe6-4f7c-9c86-2b162eb3f61d.jpeg</t>
  </si>
  <si>
    <t>57.14285714285714</t>
  </si>
  <si>
    <t>954.9617000000126</t>
  </si>
  <si>
    <t>1429.0235999999936</t>
  </si>
  <si>
    <t>723.9330999999822</t>
  </si>
  <si>
    <t>92.69608516483517</t>
  </si>
  <si>
    <t>96.34804258241758</t>
  </si>
  <si>
    <t>upload_1753052864483_2e9f35f0-e28e-4cb0-9e0e-161c00ce4e6d.jpeg</t>
  </si>
  <si>
    <t>60.11904761904763</t>
  </si>
  <si>
    <t>1007.7322000000208</t>
  </si>
  <si>
    <t>1826.2317000000223</t>
  </si>
  <si>
    <t>777.0182000000148</t>
  </si>
  <si>
    <t>82.01190476190476</t>
  </si>
  <si>
    <t>91.00595238095238</t>
  </si>
  <si>
    <t>upload_1753053053316_3dad93e8-c0b5-4fb7-8155-80469e473fe9.jpeg</t>
  </si>
  <si>
    <t>1120.235000000008</t>
  </si>
  <si>
    <t>2204.3177999999843</t>
  </si>
  <si>
    <t>672.5991000000136</t>
  </si>
  <si>
    <t>89.53104707792208</t>
  </si>
  <si>
    <t>94.76552353896105</t>
  </si>
  <si>
    <t>upload_1753053088887_e0087c65-7b21-4e50-9878-19401e3fbe93.jpeg</t>
  </si>
  <si>
    <t>94.08496732026144</t>
  </si>
  <si>
    <t>891.1284999999793</t>
  </si>
  <si>
    <t>2142.9377000000045</t>
  </si>
  <si>
    <t>85.40849673202615</t>
  </si>
  <si>
    <t>62.704248366013076</t>
  </si>
  <si>
    <t>upload_1753053107804_3f319949-c893-46d1-b54e-378b675e43f8.jpeg</t>
  </si>
  <si>
    <t>98.21428571428572</t>
  </si>
  <si>
    <t>1229.3647999999848</t>
  </si>
  <si>
    <t>1426.0514000000055</t>
  </si>
  <si>
    <t>611.7068000000074</t>
  </si>
  <si>
    <t>93.82142857142857</t>
  </si>
  <si>
    <t>96.91071428571428</t>
  </si>
  <si>
    <t>upload_1753053145042_b9a83e6d-33f1-46f0-a73f-cd7f73e5c3c0.jpeg</t>
  </si>
  <si>
    <t>1639.4819999999868</t>
  </si>
  <si>
    <t>1513.7670999999957</t>
  </si>
  <si>
    <t>721.6377000000023</t>
  </si>
  <si>
    <t>upload_1753053184717_40b4257a-d26b-4f61-a684-e939291e0d99.jpeg</t>
  </si>
  <si>
    <t>643.0377000000078</t>
  </si>
  <si>
    <t>2120.7626000000064</t>
  </si>
  <si>
    <t>670.1639999999998</t>
  </si>
  <si>
    <t>upload_1753053217022_73c60e40-9950-4c69-8625-9eb92923f379.jpeg</t>
  </si>
  <si>
    <t>1190.5130999999756</t>
  </si>
  <si>
    <t>2145.6225000000018</t>
  </si>
  <si>
    <t>673.1575999999961</t>
  </si>
  <si>
    <t>upload_1753053277090_02101e96-ba76-4f39-8980-65db616ad82f.jpeg</t>
  </si>
  <si>
    <t>98.52941176470588</t>
  </si>
  <si>
    <t>794.3290000000047</t>
  </si>
  <si>
    <t>1929.5778999999984</t>
  </si>
  <si>
    <t>929.1814000000044</t>
  </si>
  <si>
    <t>31.852941176470587</t>
  </si>
  <si>
    <t>65.92647058823529</t>
  </si>
  <si>
    <t>upload_1753053311667_d3574386-8d95-4b91-b5c6-0ee2fecb639a.jpeg</t>
  </si>
  <si>
    <t>68.86363636363637</t>
  </si>
  <si>
    <t>1092.2746999999902</t>
  </si>
  <si>
    <t>1989.6674000000016</t>
  </si>
  <si>
    <t>626.4236000000096</t>
  </si>
  <si>
    <t>87.88636363636364</t>
  </si>
  <si>
    <t>93.94318181818181</t>
  </si>
  <si>
    <t>upload_1753053337006_b38485b7-124a-401e-bf24-65359c9e90d0.jpeg</t>
  </si>
  <si>
    <t>1171.9137000000046</t>
  </si>
  <si>
    <t>1654.8837999999932</t>
  </si>
  <si>
    <t>656.5434000000039</t>
  </si>
  <si>
    <t>85.56597222222221</t>
  </si>
  <si>
    <t>92.78298611111111</t>
  </si>
  <si>
    <t>upload_1753053995329_8844fe76-9209-488e-adf3-7a13fe0c6f81.jpeg</t>
  </si>
  <si>
    <t>67.39309210526316</t>
  </si>
  <si>
    <t>666.3712999999802</t>
  </si>
  <si>
    <t>84.73930921052632</t>
  </si>
  <si>
    <t>92.36965460526315</t>
  </si>
  <si>
    <t>upload_1753054028270_f5833fb2-5b4f-45b5-9da8-a2cd7b10c97d.jpeg</t>
  </si>
  <si>
    <t>91.15384615384616</t>
  </si>
  <si>
    <t>42.85714285714285</t>
  </si>
  <si>
    <t>790.8924000000184</t>
  </si>
  <si>
    <t>1964.6477999999945</t>
  </si>
  <si>
    <t>817.1999000000199</t>
  </si>
  <si>
    <t>35.401098901098905</t>
  </si>
  <si>
    <t>67.70054945054946</t>
  </si>
  <si>
    <t>upload_1753054127030_3f2421d7-8517-4a68-a37e-f2c3fae607db.jpeg</t>
  </si>
  <si>
    <t>64.58333333333333</t>
  </si>
  <si>
    <t>823.7972999999954</t>
  </si>
  <si>
    <t>1545.1039999999807</t>
  </si>
  <si>
    <t>82.95833333333333</t>
  </si>
  <si>
    <t>91.47916666666666</t>
  </si>
  <si>
    <t>upload_1753054171499_5bc0643b-9294-4412-b80f-3b9c75b2e29b.jpeg</t>
  </si>
  <si>
    <t>1551.6087999999968</t>
  </si>
  <si>
    <t>1924.5520000000056</t>
  </si>
  <si>
    <t>808.4007999999869</t>
  </si>
  <si>
    <t>83.45833333333333</t>
  </si>
  <si>
    <t>91.72916666666666</t>
  </si>
  <si>
    <t>upload_1753068426109_e9f92f5b-5160-494e-9ff7-32be49b9dca2.jpeg</t>
  </si>
  <si>
    <t>51.78571428571429</t>
  </si>
  <si>
    <t>494.8406999999975</t>
  </si>
  <si>
    <t>2603.6675999999943</t>
  </si>
  <si>
    <t>843.6671999999987</t>
  </si>
  <si>
    <t>21.17857142857143</t>
  </si>
  <si>
    <t>60.589285714285715</t>
  </si>
  <si>
    <t>upload_1753199632104_3a898757-6efe-49de-ab61-6195be57723c.jpeg</t>
  </si>
  <si>
    <t>92.26190476190476</t>
  </si>
  <si>
    <t>591.2136000000032</t>
  </si>
  <si>
    <t>2054.504400000013</t>
  </si>
  <si>
    <t>698.0831000000194</t>
  </si>
  <si>
    <t>93.22619047619048</t>
  </si>
  <si>
    <t>66.61309523809524</t>
  </si>
  <si>
    <t>upload_1753199710361_657a23e2-1ed3-4b67-86cb-e5b5b76d0cc5.jpeg</t>
  </si>
  <si>
    <t>90.17857142857144</t>
  </si>
  <si>
    <t>525.0048000000049</t>
  </si>
  <si>
    <t>1889.8429000000192</t>
  </si>
  <si>
    <t>726.7516999999941</t>
  </si>
  <si>
    <t>89.01785714285714</t>
  </si>
  <si>
    <t>94.50892857142857</t>
  </si>
  <si>
    <t>upload_1753200023630_697c8163-ee91-4c75-85b8-ad4a947e9e74.jpeg</t>
  </si>
  <si>
    <t>89.67261904761905</t>
  </si>
  <si>
    <t>1137.4573000000223</t>
  </si>
  <si>
    <t>1392.2530000000108</t>
  </si>
  <si>
    <t>658.5402000000045</t>
  </si>
  <si>
    <t>88.63392857142857</t>
  </si>
  <si>
    <t>94.31696428571428</t>
  </si>
  <si>
    <t>upload_1753200276846_5e3f6aab-de91-48e1-849a-eebc0300e207.jpeg</t>
  </si>
  <si>
    <t>49.62797619047619</t>
  </si>
  <si>
    <t>1133.1346999999994</t>
  </si>
  <si>
    <t>679.2905000000076</t>
  </si>
  <si>
    <t>30.96279761904762</t>
  </si>
  <si>
    <t>65.48139880952381</t>
  </si>
  <si>
    <t>upload_1753203870259_fa36a429-304f-4b3c-b6e0-3519beaece88.jpeg</t>
  </si>
  <si>
    <t>92.01680672268908</t>
  </si>
  <si>
    <t>559.3061999999804</t>
  </si>
  <si>
    <t>2003.7816999999905</t>
  </si>
  <si>
    <t>31.201680672268907</t>
  </si>
  <si>
    <t>65.60084033613445</t>
  </si>
  <si>
    <t>upload_1753210424880_8af29a21-30dc-4b8a-b26b-24215e050a3f.jpeg</t>
  </si>
  <si>
    <t>82.36476608187134</t>
  </si>
  <si>
    <t>520.5955000000131</t>
  </si>
  <si>
    <t>2253.9433999999687</t>
  </si>
  <si>
    <t>637.0178999999894</t>
  </si>
  <si>
    <t>29.569809941520468</t>
  </si>
  <si>
    <t>64.78490497076024</t>
  </si>
  <si>
    <t>upload_1753211834887_fce7ded2-46f9-47f1-ad3e-667e7d7a06c3.jpeg</t>
  </si>
  <si>
    <t>61.69507575757576</t>
  </si>
  <si>
    <t>546.0699999999861</t>
  </si>
  <si>
    <t>1773.0091000000243</t>
  </si>
  <si>
    <t>651.5294000000154</t>
  </si>
  <si>
    <t>86.66950757575758</t>
  </si>
  <si>
    <t>93.33475378787878</t>
  </si>
  <si>
    <t>upload_1753211882695_715dc254-cac3-4122-a437-3f9d756e85b7.jpeg</t>
  </si>
  <si>
    <t>59.68614718614719</t>
  </si>
  <si>
    <t>683.1614000000172</t>
  </si>
  <si>
    <t>1668.4547000000407</t>
  </si>
  <si>
    <t>634.9485000000072</t>
  </si>
  <si>
    <t>88.96861471861472</t>
  </si>
  <si>
    <t>94.48430735930737</t>
  </si>
  <si>
    <t>upload_1753212036729_b69c6c19-248c-45b9-be7e-5e50eda48a04.jpeg</t>
  </si>
  <si>
    <t>79.76190476190477</t>
  </si>
  <si>
    <t>2114.0910000000304</t>
  </si>
  <si>
    <t>807.4186000000054</t>
  </si>
  <si>
    <t>77.97619047619048</t>
  </si>
  <si>
    <t>88.98809523809524</t>
  </si>
  <si>
    <t xml:space="preserve">Total Latency </t>
  </si>
  <si>
    <t xml:space="preserve">Evals Score </t>
  </si>
  <si>
    <t xml:space="preserve">P50 Latency </t>
  </si>
  <si>
    <t xml:space="preserve">Total Input Tokens </t>
  </si>
  <si>
    <t>Total Output Tokens</t>
  </si>
  <si>
    <t xml:space="preserve">Average Input Tokens </t>
  </si>
  <si>
    <t xml:space="preserve">Average Output Tokens </t>
  </si>
  <si>
    <t xml:space="preserve">Input Guardrails P50 Latency </t>
  </si>
  <si>
    <t xml:space="preserve">Inference P50 Latency </t>
  </si>
  <si>
    <t>safetyChecks P50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</si>
</sst>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455E-EF55-49DF-9FF3-1F7F57C1AAEC}">
  <dimension ref="A1:AA73"/>
  <sheetViews>
    <sheetView tabSelected="1" topLeftCell="G15" workbookViewId="0">
      <selection activeCell="N2" sqref="N2:N73"/>
    </sheetView>
  </sheetViews>
  <sheetFormatPr defaultRowHeight="14.35" x14ac:dyDescent="0.5"/>
  <cols>
    <col min="23" max="23" width="15.5859375" customWidth="1"/>
    <col min="24" max="24" width="15.703125" customWidth="1"/>
    <col min="26" max="26" width="19" customWidth="1"/>
  </cols>
  <sheetData>
    <row r="1" spans="1:2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456</v>
      </c>
      <c r="W1" t="s">
        <v>459</v>
      </c>
      <c r="X1" t="s">
        <v>460</v>
      </c>
    </row>
    <row r="2" spans="1:27" x14ac:dyDescent="0.5">
      <c r="A2" t="s">
        <v>21</v>
      </c>
      <c r="B2">
        <v>1</v>
      </c>
      <c r="C2">
        <v>1</v>
      </c>
      <c r="D2" t="b">
        <v>1</v>
      </c>
      <c r="E2" s="1" t="s">
        <v>22</v>
      </c>
      <c r="F2" s="1" t="s">
        <v>23</v>
      </c>
      <c r="G2">
        <v>1</v>
      </c>
      <c r="H2">
        <v>444</v>
      </c>
      <c r="I2">
        <v>25</v>
      </c>
      <c r="J2">
        <v>1089.5696</v>
      </c>
      <c r="K2">
        <v>960</v>
      </c>
      <c r="L2">
        <v>152</v>
      </c>
      <c r="M2" s="1" t="s">
        <v>24</v>
      </c>
      <c r="N2">
        <v>592</v>
      </c>
      <c r="O2">
        <v>57</v>
      </c>
      <c r="P2" s="1" t="s">
        <v>25</v>
      </c>
      <c r="Q2">
        <v>5</v>
      </c>
      <c r="R2">
        <v>3</v>
      </c>
      <c r="S2">
        <v>3</v>
      </c>
      <c r="T2" s="1" t="s">
        <v>26</v>
      </c>
      <c r="U2" s="1" t="s">
        <v>27</v>
      </c>
      <c r="V2">
        <f>J2+M2+P2</f>
        <v>4123.8533999999891</v>
      </c>
      <c r="W2">
        <f>H2+K2+N2</f>
        <v>1996</v>
      </c>
      <c r="X2">
        <f>I2+L2+O2</f>
        <v>234</v>
      </c>
    </row>
    <row r="3" spans="1:27" x14ac:dyDescent="0.5">
      <c r="A3" t="s">
        <v>28</v>
      </c>
      <c r="B3">
        <v>1</v>
      </c>
      <c r="C3">
        <v>1</v>
      </c>
      <c r="D3" t="b">
        <v>1</v>
      </c>
      <c r="E3" s="1" t="s">
        <v>29</v>
      </c>
      <c r="F3" s="1" t="s">
        <v>23</v>
      </c>
      <c r="G3">
        <v>0</v>
      </c>
      <c r="H3">
        <v>444</v>
      </c>
      <c r="I3">
        <v>25</v>
      </c>
      <c r="J3" s="1" t="s">
        <v>30</v>
      </c>
      <c r="K3">
        <v>960</v>
      </c>
      <c r="L3">
        <v>182</v>
      </c>
      <c r="M3">
        <v>1881.1533999999999</v>
      </c>
      <c r="N3">
        <v>617</v>
      </c>
      <c r="O3">
        <v>57</v>
      </c>
      <c r="P3">
        <v>763.68200000000104</v>
      </c>
      <c r="Q3">
        <v>3</v>
      </c>
      <c r="R3">
        <v>4</v>
      </c>
      <c r="S3">
        <v>3</v>
      </c>
      <c r="T3" s="1" t="s">
        <v>31</v>
      </c>
      <c r="U3" s="1" t="s">
        <v>32</v>
      </c>
      <c r="V3">
        <f t="shared" ref="V3:V66" si="0">J3+M3+P3</f>
        <v>4004.2583000000009</v>
      </c>
      <c r="W3">
        <f t="shared" ref="W3:W66" si="1">H3+K3+N3</f>
        <v>2021</v>
      </c>
      <c r="X3">
        <f t="shared" ref="X3:X66" si="2">I3+L3+O3</f>
        <v>264</v>
      </c>
    </row>
    <row r="4" spans="1:27" x14ac:dyDescent="0.5">
      <c r="A4" t="s">
        <v>33</v>
      </c>
      <c r="B4">
        <v>1</v>
      </c>
      <c r="C4">
        <v>1</v>
      </c>
      <c r="D4" t="b">
        <v>1</v>
      </c>
      <c r="E4">
        <v>0</v>
      </c>
      <c r="F4" s="1" t="s">
        <v>34</v>
      </c>
      <c r="G4">
        <v>1</v>
      </c>
      <c r="H4">
        <v>444</v>
      </c>
      <c r="I4">
        <v>25</v>
      </c>
      <c r="J4" s="1" t="s">
        <v>35</v>
      </c>
      <c r="K4">
        <v>960</v>
      </c>
      <c r="L4">
        <v>149</v>
      </c>
      <c r="M4" s="1" t="s">
        <v>36</v>
      </c>
      <c r="N4">
        <v>588</v>
      </c>
      <c r="O4">
        <v>57</v>
      </c>
      <c r="P4" s="1" t="s">
        <v>37</v>
      </c>
      <c r="Q4">
        <v>4</v>
      </c>
      <c r="R4">
        <v>4</v>
      </c>
      <c r="S4">
        <v>3</v>
      </c>
      <c r="T4" s="1" t="s">
        <v>38</v>
      </c>
      <c r="U4" s="1" t="s">
        <v>39</v>
      </c>
      <c r="V4">
        <f t="shared" si="0"/>
        <v>4093.8897999999899</v>
      </c>
      <c r="W4">
        <f t="shared" si="1"/>
        <v>1992</v>
      </c>
      <c r="X4">
        <f t="shared" si="2"/>
        <v>231</v>
      </c>
      <c r="Z4" s="2" t="s">
        <v>457</v>
      </c>
      <c r="AA4" s="2">
        <f>AVERAGE(U2:U73)</f>
        <v>86.275577440521047</v>
      </c>
    </row>
    <row r="5" spans="1:27" x14ac:dyDescent="0.5">
      <c r="A5" t="s">
        <v>40</v>
      </c>
      <c r="B5">
        <v>1</v>
      </c>
      <c r="C5">
        <v>1</v>
      </c>
      <c r="D5" t="b">
        <v>1</v>
      </c>
      <c r="E5" s="1" t="s">
        <v>41</v>
      </c>
      <c r="F5">
        <v>20</v>
      </c>
      <c r="G5">
        <v>1</v>
      </c>
      <c r="H5">
        <v>444</v>
      </c>
      <c r="I5">
        <v>25</v>
      </c>
      <c r="J5">
        <v>1128.8874000000001</v>
      </c>
      <c r="K5">
        <v>960</v>
      </c>
      <c r="L5">
        <v>150</v>
      </c>
      <c r="M5" s="1" t="s">
        <v>42</v>
      </c>
      <c r="N5">
        <v>591</v>
      </c>
      <c r="O5">
        <v>57</v>
      </c>
      <c r="P5" s="1" t="s">
        <v>43</v>
      </c>
      <c r="Q5">
        <v>4</v>
      </c>
      <c r="R5">
        <v>4</v>
      </c>
      <c r="S5">
        <v>5</v>
      </c>
      <c r="T5" s="1" t="s">
        <v>44</v>
      </c>
      <c r="U5" s="1" t="s">
        <v>45</v>
      </c>
      <c r="V5">
        <f t="shared" si="0"/>
        <v>3928.0600000000009</v>
      </c>
      <c r="W5">
        <f t="shared" si="1"/>
        <v>1995</v>
      </c>
      <c r="X5">
        <f t="shared" si="2"/>
        <v>232</v>
      </c>
      <c r="Z5" s="2" t="s">
        <v>458</v>
      </c>
      <c r="AA5" s="2">
        <f>MEDIAN(V2:V73)</f>
        <v>3747.5386999999891</v>
      </c>
    </row>
    <row r="6" spans="1:27" x14ac:dyDescent="0.5">
      <c r="A6" t="s">
        <v>46</v>
      </c>
      <c r="B6">
        <v>1</v>
      </c>
      <c r="C6">
        <v>1</v>
      </c>
      <c r="D6" t="b">
        <v>1</v>
      </c>
      <c r="E6" s="1" t="s">
        <v>47</v>
      </c>
      <c r="F6" s="1" t="s">
        <v>23</v>
      </c>
      <c r="G6">
        <v>1</v>
      </c>
      <c r="H6">
        <v>444</v>
      </c>
      <c r="I6">
        <v>25</v>
      </c>
      <c r="J6">
        <v>817.96839999999804</v>
      </c>
      <c r="K6">
        <v>960</v>
      </c>
      <c r="L6">
        <v>124</v>
      </c>
      <c r="M6">
        <v>1485.8226999999999</v>
      </c>
      <c r="N6">
        <v>586</v>
      </c>
      <c r="O6">
        <v>57</v>
      </c>
      <c r="P6" s="1" t="s">
        <v>48</v>
      </c>
      <c r="Q6">
        <v>4</v>
      </c>
      <c r="R6">
        <v>5</v>
      </c>
      <c r="S6">
        <v>5</v>
      </c>
      <c r="T6" s="1" t="s">
        <v>49</v>
      </c>
      <c r="U6" s="1" t="s">
        <v>50</v>
      </c>
      <c r="V6">
        <f t="shared" si="0"/>
        <v>2944.5551999999989</v>
      </c>
      <c r="W6">
        <f t="shared" si="1"/>
        <v>1990</v>
      </c>
      <c r="X6">
        <f t="shared" si="2"/>
        <v>206</v>
      </c>
    </row>
    <row r="7" spans="1:27" x14ac:dyDescent="0.5">
      <c r="A7" t="s">
        <v>51</v>
      </c>
      <c r="B7">
        <v>1</v>
      </c>
      <c r="C7">
        <v>1</v>
      </c>
      <c r="D7" t="b">
        <v>1</v>
      </c>
      <c r="E7">
        <v>62.5</v>
      </c>
      <c r="F7">
        <v>25</v>
      </c>
      <c r="G7">
        <v>1</v>
      </c>
      <c r="H7">
        <v>444</v>
      </c>
      <c r="I7">
        <v>25</v>
      </c>
      <c r="J7" s="1" t="s">
        <v>52</v>
      </c>
      <c r="K7">
        <v>960</v>
      </c>
      <c r="L7">
        <v>149</v>
      </c>
      <c r="M7" s="1" t="s">
        <v>53</v>
      </c>
      <c r="N7">
        <v>603</v>
      </c>
      <c r="O7">
        <v>57</v>
      </c>
      <c r="P7" s="1" t="s">
        <v>54</v>
      </c>
      <c r="Q7">
        <v>3</v>
      </c>
      <c r="R7">
        <v>5</v>
      </c>
      <c r="S7">
        <v>4</v>
      </c>
      <c r="T7">
        <v>82.75</v>
      </c>
      <c r="U7">
        <v>91.375</v>
      </c>
      <c r="V7">
        <f t="shared" si="0"/>
        <v>4024.5889999999899</v>
      </c>
      <c r="W7">
        <f t="shared" si="1"/>
        <v>2007</v>
      </c>
      <c r="X7">
        <f t="shared" si="2"/>
        <v>231</v>
      </c>
    </row>
    <row r="8" spans="1:27" x14ac:dyDescent="0.5">
      <c r="A8" t="s">
        <v>55</v>
      </c>
      <c r="B8">
        <v>1</v>
      </c>
      <c r="C8">
        <v>1</v>
      </c>
      <c r="D8" t="b">
        <v>1</v>
      </c>
      <c r="E8" s="1" t="s">
        <v>56</v>
      </c>
      <c r="F8">
        <v>25</v>
      </c>
      <c r="G8">
        <v>0</v>
      </c>
      <c r="H8">
        <v>444</v>
      </c>
      <c r="I8">
        <v>25</v>
      </c>
      <c r="J8" s="1" t="s">
        <v>57</v>
      </c>
      <c r="K8">
        <v>960</v>
      </c>
      <c r="L8">
        <v>192</v>
      </c>
      <c r="M8" s="1" t="s">
        <v>58</v>
      </c>
      <c r="N8">
        <v>600</v>
      </c>
      <c r="O8">
        <v>57</v>
      </c>
      <c r="P8" s="1" t="s">
        <v>59</v>
      </c>
      <c r="Q8">
        <v>3</v>
      </c>
      <c r="R8">
        <v>4</v>
      </c>
      <c r="S8">
        <v>4</v>
      </c>
      <c r="T8" s="1" t="s">
        <v>60</v>
      </c>
      <c r="U8" s="1" t="s">
        <v>61</v>
      </c>
      <c r="V8">
        <f t="shared" si="0"/>
        <v>3819.9480999999992</v>
      </c>
      <c r="W8">
        <f t="shared" si="1"/>
        <v>2004</v>
      </c>
      <c r="X8">
        <f t="shared" si="2"/>
        <v>274</v>
      </c>
      <c r="Z8" t="s">
        <v>461</v>
      </c>
      <c r="AA8">
        <f>AVERAGE(W2:W73)</f>
        <v>2000.1388888888889</v>
      </c>
    </row>
    <row r="9" spans="1:27" x14ac:dyDescent="0.5">
      <c r="A9" t="s">
        <v>62</v>
      </c>
      <c r="B9">
        <v>1</v>
      </c>
      <c r="C9">
        <v>1</v>
      </c>
      <c r="D9" t="b">
        <v>1</v>
      </c>
      <c r="E9">
        <v>50</v>
      </c>
      <c r="F9">
        <v>0</v>
      </c>
      <c r="G9">
        <v>1</v>
      </c>
      <c r="H9">
        <v>444</v>
      </c>
      <c r="I9">
        <v>25</v>
      </c>
      <c r="J9">
        <v>995.959599999999</v>
      </c>
      <c r="K9">
        <v>960</v>
      </c>
      <c r="L9">
        <v>137</v>
      </c>
      <c r="M9" s="1" t="s">
        <v>63</v>
      </c>
      <c r="N9">
        <v>607</v>
      </c>
      <c r="O9">
        <v>57</v>
      </c>
      <c r="P9" s="1" t="s">
        <v>64</v>
      </c>
      <c r="Q9">
        <v>3</v>
      </c>
      <c r="R9">
        <v>1</v>
      </c>
      <c r="S9">
        <v>1</v>
      </c>
      <c r="T9">
        <v>65</v>
      </c>
      <c r="U9">
        <v>82.5</v>
      </c>
      <c r="V9">
        <f t="shared" si="0"/>
        <v>3810.2812999999915</v>
      </c>
      <c r="W9">
        <f t="shared" si="1"/>
        <v>2011</v>
      </c>
      <c r="X9">
        <f t="shared" si="2"/>
        <v>219</v>
      </c>
      <c r="Z9" t="s">
        <v>462</v>
      </c>
      <c r="AA9">
        <f>AVERAGE(X2:X73)</f>
        <v>225.47222222222223</v>
      </c>
    </row>
    <row r="10" spans="1:27" x14ac:dyDescent="0.5">
      <c r="A10" t="s">
        <v>65</v>
      </c>
      <c r="B10">
        <v>1</v>
      </c>
      <c r="C10">
        <v>1</v>
      </c>
      <c r="D10" t="b">
        <v>1</v>
      </c>
      <c r="E10" s="1" t="s">
        <v>66</v>
      </c>
      <c r="F10">
        <v>0</v>
      </c>
      <c r="G10">
        <v>1</v>
      </c>
      <c r="H10">
        <v>444</v>
      </c>
      <c r="I10">
        <v>25</v>
      </c>
      <c r="J10" s="1" t="s">
        <v>67</v>
      </c>
      <c r="K10">
        <v>960</v>
      </c>
      <c r="L10">
        <v>118</v>
      </c>
      <c r="M10" s="1" t="s">
        <v>68</v>
      </c>
      <c r="N10">
        <v>595</v>
      </c>
      <c r="O10">
        <v>57</v>
      </c>
      <c r="P10" s="1" t="s">
        <v>69</v>
      </c>
      <c r="Q10">
        <v>4</v>
      </c>
      <c r="R10">
        <v>5</v>
      </c>
      <c r="S10">
        <v>4</v>
      </c>
      <c r="T10" s="1" t="s">
        <v>70</v>
      </c>
      <c r="U10">
        <v>91.804402834008101</v>
      </c>
      <c r="V10">
        <f t="shared" si="0"/>
        <v>3085.4449000000068</v>
      </c>
      <c r="W10">
        <f t="shared" si="1"/>
        <v>1999</v>
      </c>
      <c r="X10">
        <f t="shared" si="2"/>
        <v>200</v>
      </c>
    </row>
    <row r="11" spans="1:27" x14ac:dyDescent="0.5">
      <c r="A11" t="s">
        <v>71</v>
      </c>
      <c r="B11">
        <v>1</v>
      </c>
      <c r="C11">
        <v>1</v>
      </c>
      <c r="D11" t="b">
        <v>1</v>
      </c>
      <c r="E11">
        <v>86.273331447963798</v>
      </c>
      <c r="F11">
        <v>0</v>
      </c>
      <c r="G11">
        <v>1</v>
      </c>
      <c r="H11">
        <v>444</v>
      </c>
      <c r="I11">
        <v>25</v>
      </c>
      <c r="J11">
        <v>802.20119999999895</v>
      </c>
      <c r="K11">
        <v>960</v>
      </c>
      <c r="L11">
        <v>139</v>
      </c>
      <c r="M11" s="1" t="s">
        <v>72</v>
      </c>
      <c r="N11">
        <v>592</v>
      </c>
      <c r="O11">
        <v>57</v>
      </c>
      <c r="P11" s="1" t="s">
        <v>73</v>
      </c>
      <c r="Q11">
        <v>4</v>
      </c>
      <c r="R11">
        <v>4</v>
      </c>
      <c r="S11">
        <v>3</v>
      </c>
      <c r="T11" s="1" t="s">
        <v>74</v>
      </c>
      <c r="U11" s="1" t="s">
        <v>75</v>
      </c>
      <c r="V11">
        <f t="shared" si="0"/>
        <v>4528.047799999993</v>
      </c>
      <c r="W11">
        <f t="shared" si="1"/>
        <v>1996</v>
      </c>
      <c r="X11">
        <f t="shared" si="2"/>
        <v>221</v>
      </c>
    </row>
    <row r="12" spans="1:27" x14ac:dyDescent="0.5">
      <c r="A12" t="s">
        <v>76</v>
      </c>
      <c r="B12">
        <v>1</v>
      </c>
      <c r="C12">
        <v>1</v>
      </c>
      <c r="D12" t="b">
        <v>1</v>
      </c>
      <c r="E12" s="1" t="s">
        <v>77</v>
      </c>
      <c r="F12">
        <v>50</v>
      </c>
      <c r="G12">
        <v>0</v>
      </c>
      <c r="H12">
        <v>444</v>
      </c>
      <c r="I12">
        <v>25</v>
      </c>
      <c r="J12">
        <v>1275.4007999999999</v>
      </c>
      <c r="K12">
        <v>960</v>
      </c>
      <c r="L12">
        <v>153</v>
      </c>
      <c r="M12" s="1" t="s">
        <v>78</v>
      </c>
      <c r="N12">
        <v>589</v>
      </c>
      <c r="O12">
        <v>57</v>
      </c>
      <c r="P12" s="1" t="s">
        <v>79</v>
      </c>
      <c r="Q12">
        <v>2</v>
      </c>
      <c r="R12">
        <v>5</v>
      </c>
      <c r="S12">
        <v>4</v>
      </c>
      <c r="T12" s="1" t="s">
        <v>80</v>
      </c>
      <c r="U12" s="1" t="s">
        <v>81</v>
      </c>
      <c r="V12">
        <f t="shared" si="0"/>
        <v>4684.4286999999913</v>
      </c>
      <c r="W12">
        <f t="shared" si="1"/>
        <v>1993</v>
      </c>
      <c r="X12">
        <f t="shared" si="2"/>
        <v>235</v>
      </c>
    </row>
    <row r="13" spans="1:27" x14ac:dyDescent="0.5">
      <c r="A13" t="s">
        <v>82</v>
      </c>
      <c r="B13">
        <v>1</v>
      </c>
      <c r="C13">
        <v>1</v>
      </c>
      <c r="D13" t="b">
        <v>1</v>
      </c>
      <c r="E13" s="1" t="s">
        <v>83</v>
      </c>
      <c r="F13" s="1" t="s">
        <v>34</v>
      </c>
      <c r="G13">
        <v>1</v>
      </c>
      <c r="H13">
        <v>444</v>
      </c>
      <c r="I13">
        <v>25</v>
      </c>
      <c r="J13" s="1" t="s">
        <v>84</v>
      </c>
      <c r="K13">
        <v>960</v>
      </c>
      <c r="L13">
        <v>165</v>
      </c>
      <c r="M13" s="1" t="s">
        <v>85</v>
      </c>
      <c r="N13">
        <v>595</v>
      </c>
      <c r="O13">
        <v>57</v>
      </c>
      <c r="P13" s="1" t="s">
        <v>86</v>
      </c>
      <c r="Q13">
        <v>4</v>
      </c>
      <c r="R13">
        <v>5</v>
      </c>
      <c r="S13">
        <v>4</v>
      </c>
      <c r="T13">
        <v>87.964866274076797</v>
      </c>
      <c r="U13">
        <v>93.982433137038399</v>
      </c>
      <c r="V13">
        <f t="shared" si="0"/>
        <v>3891.3387999999968</v>
      </c>
      <c r="W13">
        <f t="shared" si="1"/>
        <v>1999</v>
      </c>
      <c r="X13">
        <f t="shared" si="2"/>
        <v>247</v>
      </c>
      <c r="Z13" t="s">
        <v>463</v>
      </c>
      <c r="AA13">
        <f>MEDIAN(J2:J73)</f>
        <v>960.97629999998446</v>
      </c>
    </row>
    <row r="14" spans="1:27" x14ac:dyDescent="0.5">
      <c r="A14" t="s">
        <v>87</v>
      </c>
      <c r="B14">
        <v>1</v>
      </c>
      <c r="C14">
        <v>1</v>
      </c>
      <c r="D14" t="b">
        <v>1</v>
      </c>
      <c r="E14">
        <v>69.715909090909093</v>
      </c>
      <c r="F14">
        <v>25</v>
      </c>
      <c r="G14">
        <v>1</v>
      </c>
      <c r="H14">
        <v>444</v>
      </c>
      <c r="I14">
        <v>25</v>
      </c>
      <c r="J14" s="1" t="s">
        <v>88</v>
      </c>
      <c r="K14">
        <v>960</v>
      </c>
      <c r="L14">
        <v>152</v>
      </c>
      <c r="M14" s="1" t="s">
        <v>89</v>
      </c>
      <c r="N14">
        <v>596</v>
      </c>
      <c r="O14">
        <v>57</v>
      </c>
      <c r="P14" s="1" t="s">
        <v>90</v>
      </c>
      <c r="Q14">
        <v>3</v>
      </c>
      <c r="R14">
        <v>3</v>
      </c>
      <c r="S14">
        <v>3</v>
      </c>
      <c r="T14">
        <v>77.471590909090907</v>
      </c>
      <c r="U14" s="1" t="s">
        <v>91</v>
      </c>
      <c r="V14">
        <f t="shared" si="0"/>
        <v>3920.3399999999979</v>
      </c>
      <c r="W14">
        <f t="shared" si="1"/>
        <v>2000</v>
      </c>
      <c r="X14">
        <f t="shared" si="2"/>
        <v>234</v>
      </c>
      <c r="Z14" t="s">
        <v>464</v>
      </c>
      <c r="AA14">
        <f>MEDIAN(M2:M73)</f>
        <v>1881.1533999999999</v>
      </c>
    </row>
    <row r="15" spans="1:27" x14ac:dyDescent="0.5">
      <c r="A15" t="s">
        <v>92</v>
      </c>
      <c r="B15">
        <v>1</v>
      </c>
      <c r="C15">
        <v>1</v>
      </c>
      <c r="D15" t="b">
        <v>1</v>
      </c>
      <c r="E15" s="1" t="s">
        <v>93</v>
      </c>
      <c r="F15">
        <v>0</v>
      </c>
      <c r="G15">
        <v>1</v>
      </c>
      <c r="H15">
        <v>444</v>
      </c>
      <c r="I15">
        <v>25</v>
      </c>
      <c r="J15" s="1" t="s">
        <v>94</v>
      </c>
      <c r="K15">
        <v>960</v>
      </c>
      <c r="L15">
        <v>176</v>
      </c>
      <c r="M15" s="1" t="s">
        <v>95</v>
      </c>
      <c r="N15">
        <v>598</v>
      </c>
      <c r="O15">
        <v>57</v>
      </c>
      <c r="P15" s="1" t="s">
        <v>96</v>
      </c>
      <c r="Q15">
        <v>5</v>
      </c>
      <c r="R15">
        <v>4</v>
      </c>
      <c r="S15">
        <v>4</v>
      </c>
      <c r="T15" s="1" t="s">
        <v>97</v>
      </c>
      <c r="U15" s="1" t="s">
        <v>98</v>
      </c>
      <c r="V15">
        <f t="shared" si="0"/>
        <v>4273.9908999999889</v>
      </c>
      <c r="W15">
        <f t="shared" si="1"/>
        <v>2002</v>
      </c>
      <c r="X15">
        <f t="shared" si="2"/>
        <v>258</v>
      </c>
      <c r="Z15" t="s">
        <v>465</v>
      </c>
      <c r="AA15">
        <f>MEDIAN(P2:P73)</f>
        <v>739.02169999999501</v>
      </c>
    </row>
    <row r="16" spans="1:27" x14ac:dyDescent="0.5">
      <c r="A16" t="s">
        <v>99</v>
      </c>
      <c r="B16">
        <v>1</v>
      </c>
      <c r="C16">
        <v>0</v>
      </c>
      <c r="D16" t="b">
        <v>1</v>
      </c>
      <c r="E16" s="1" t="s">
        <v>100</v>
      </c>
      <c r="F16">
        <v>60</v>
      </c>
      <c r="G16">
        <v>0</v>
      </c>
      <c r="H16">
        <v>444</v>
      </c>
      <c r="I16">
        <v>25</v>
      </c>
      <c r="J16" s="1" t="s">
        <v>101</v>
      </c>
      <c r="K16">
        <v>960</v>
      </c>
      <c r="L16">
        <v>169</v>
      </c>
      <c r="M16" s="1" t="s">
        <v>102</v>
      </c>
      <c r="N16">
        <v>597</v>
      </c>
      <c r="O16">
        <v>57</v>
      </c>
      <c r="P16" s="1" t="s">
        <v>103</v>
      </c>
      <c r="Q16">
        <v>3</v>
      </c>
      <c r="R16">
        <v>5</v>
      </c>
      <c r="S16">
        <v>4</v>
      </c>
      <c r="T16" s="1" t="s">
        <v>104</v>
      </c>
      <c r="U16" s="1" t="s">
        <v>105</v>
      </c>
      <c r="V16">
        <f t="shared" si="0"/>
        <v>3154.4534999999851</v>
      </c>
      <c r="W16">
        <f t="shared" si="1"/>
        <v>2001</v>
      </c>
      <c r="X16">
        <f t="shared" si="2"/>
        <v>251</v>
      </c>
    </row>
    <row r="17" spans="1:24" x14ac:dyDescent="0.5">
      <c r="A17" t="s">
        <v>106</v>
      </c>
      <c r="B17">
        <v>1</v>
      </c>
      <c r="C17">
        <v>1</v>
      </c>
      <c r="D17" t="b">
        <v>1</v>
      </c>
      <c r="E17" s="1" t="s">
        <v>107</v>
      </c>
      <c r="F17" s="1" t="s">
        <v>108</v>
      </c>
      <c r="G17">
        <v>1</v>
      </c>
      <c r="H17">
        <v>444</v>
      </c>
      <c r="I17">
        <v>25</v>
      </c>
      <c r="J17" s="1" t="s">
        <v>109</v>
      </c>
      <c r="K17">
        <v>960</v>
      </c>
      <c r="L17">
        <v>153</v>
      </c>
      <c r="M17" s="1" t="s">
        <v>110</v>
      </c>
      <c r="N17">
        <v>605</v>
      </c>
      <c r="O17">
        <v>57</v>
      </c>
      <c r="P17" s="1" t="s">
        <v>111</v>
      </c>
      <c r="Q17">
        <v>5</v>
      </c>
      <c r="R17">
        <v>5</v>
      </c>
      <c r="S17">
        <v>5</v>
      </c>
      <c r="T17" s="1" t="s">
        <v>112</v>
      </c>
      <c r="U17" s="1" t="s">
        <v>113</v>
      </c>
      <c r="V17">
        <f t="shared" si="0"/>
        <v>4305.1951999999983</v>
      </c>
      <c r="W17">
        <f t="shared" si="1"/>
        <v>2009</v>
      </c>
      <c r="X17">
        <f t="shared" si="2"/>
        <v>235</v>
      </c>
    </row>
    <row r="18" spans="1:24" x14ac:dyDescent="0.5">
      <c r="A18" t="s">
        <v>114</v>
      </c>
      <c r="B18">
        <v>1</v>
      </c>
      <c r="C18">
        <v>1</v>
      </c>
      <c r="D18" t="b">
        <v>1</v>
      </c>
      <c r="E18" s="1" t="s">
        <v>115</v>
      </c>
      <c r="F18">
        <v>0</v>
      </c>
      <c r="G18">
        <v>0</v>
      </c>
      <c r="H18">
        <v>444</v>
      </c>
      <c r="I18">
        <v>25</v>
      </c>
      <c r="J18" s="1" t="s">
        <v>116</v>
      </c>
      <c r="K18">
        <v>960</v>
      </c>
      <c r="L18">
        <v>118</v>
      </c>
      <c r="M18" s="1" t="s">
        <v>117</v>
      </c>
      <c r="N18">
        <v>588</v>
      </c>
      <c r="O18">
        <v>57</v>
      </c>
      <c r="P18" s="1" t="s">
        <v>118</v>
      </c>
      <c r="Q18">
        <v>2</v>
      </c>
      <c r="R18">
        <v>3</v>
      </c>
      <c r="S18">
        <v>3</v>
      </c>
      <c r="T18" s="1" t="s">
        <v>119</v>
      </c>
      <c r="U18" s="1" t="s">
        <v>120</v>
      </c>
      <c r="V18">
        <f t="shared" si="0"/>
        <v>2908.1280999999908</v>
      </c>
      <c r="W18">
        <f t="shared" si="1"/>
        <v>1992</v>
      </c>
      <c r="X18">
        <f t="shared" si="2"/>
        <v>200</v>
      </c>
    </row>
    <row r="19" spans="1:24" x14ac:dyDescent="0.5">
      <c r="A19" t="s">
        <v>121</v>
      </c>
      <c r="B19">
        <v>1</v>
      </c>
      <c r="C19">
        <v>1</v>
      </c>
      <c r="D19" t="b">
        <v>1</v>
      </c>
      <c r="E19" s="1" t="s">
        <v>122</v>
      </c>
      <c r="F19">
        <v>0</v>
      </c>
      <c r="G19">
        <v>0</v>
      </c>
      <c r="H19">
        <v>444</v>
      </c>
      <c r="I19">
        <v>25</v>
      </c>
      <c r="J19" s="1" t="s">
        <v>123</v>
      </c>
      <c r="K19">
        <v>960</v>
      </c>
      <c r="L19">
        <v>140</v>
      </c>
      <c r="M19" s="1" t="s">
        <v>124</v>
      </c>
      <c r="N19">
        <v>597</v>
      </c>
      <c r="O19">
        <v>57</v>
      </c>
      <c r="P19" s="1" t="s">
        <v>125</v>
      </c>
      <c r="Q19">
        <v>4</v>
      </c>
      <c r="R19">
        <v>4</v>
      </c>
      <c r="S19">
        <v>3</v>
      </c>
      <c r="T19" s="1" t="s">
        <v>126</v>
      </c>
      <c r="U19" s="1" t="s">
        <v>127</v>
      </c>
      <c r="V19">
        <f t="shared" si="0"/>
        <v>3654.3162999999827</v>
      </c>
      <c r="W19">
        <f t="shared" si="1"/>
        <v>2001</v>
      </c>
      <c r="X19">
        <f t="shared" si="2"/>
        <v>222</v>
      </c>
    </row>
    <row r="20" spans="1:24" x14ac:dyDescent="0.5">
      <c r="A20" t="s">
        <v>128</v>
      </c>
      <c r="B20">
        <v>1</v>
      </c>
      <c r="C20">
        <v>1</v>
      </c>
      <c r="D20" t="b">
        <v>1</v>
      </c>
      <c r="E20">
        <v>100</v>
      </c>
      <c r="F20">
        <v>100</v>
      </c>
      <c r="G20">
        <v>1</v>
      </c>
      <c r="H20">
        <v>444</v>
      </c>
      <c r="I20">
        <v>25</v>
      </c>
      <c r="J20" s="1" t="s">
        <v>129</v>
      </c>
      <c r="K20">
        <v>960</v>
      </c>
      <c r="L20">
        <v>120</v>
      </c>
      <c r="M20" s="1" t="s">
        <v>130</v>
      </c>
      <c r="N20">
        <v>598</v>
      </c>
      <c r="O20">
        <v>57</v>
      </c>
      <c r="P20" s="1" t="s">
        <v>131</v>
      </c>
      <c r="Q20">
        <v>5</v>
      </c>
      <c r="R20">
        <v>5</v>
      </c>
      <c r="S20">
        <v>5</v>
      </c>
      <c r="T20">
        <v>100</v>
      </c>
      <c r="U20">
        <v>100</v>
      </c>
      <c r="V20">
        <f t="shared" si="0"/>
        <v>3563.658400000003</v>
      </c>
      <c r="W20">
        <f t="shared" si="1"/>
        <v>2002</v>
      </c>
      <c r="X20">
        <f t="shared" si="2"/>
        <v>202</v>
      </c>
    </row>
    <row r="21" spans="1:24" x14ac:dyDescent="0.5">
      <c r="A21" t="s">
        <v>132</v>
      </c>
      <c r="B21">
        <v>1</v>
      </c>
      <c r="C21">
        <v>0</v>
      </c>
      <c r="D21" t="b">
        <v>1</v>
      </c>
      <c r="E21" s="1" t="s">
        <v>133</v>
      </c>
      <c r="F21">
        <v>50</v>
      </c>
      <c r="G21">
        <v>1</v>
      </c>
      <c r="H21">
        <v>444</v>
      </c>
      <c r="I21">
        <v>25</v>
      </c>
      <c r="J21">
        <v>830.61390000000301</v>
      </c>
      <c r="K21">
        <v>960</v>
      </c>
      <c r="L21">
        <v>125</v>
      </c>
      <c r="M21" s="1" t="s">
        <v>134</v>
      </c>
      <c r="N21">
        <v>589</v>
      </c>
      <c r="O21">
        <v>57</v>
      </c>
      <c r="P21" s="1" t="s">
        <v>135</v>
      </c>
      <c r="Q21">
        <v>4</v>
      </c>
      <c r="R21">
        <v>5</v>
      </c>
      <c r="S21">
        <v>4</v>
      </c>
      <c r="T21" s="1" t="s">
        <v>136</v>
      </c>
      <c r="U21" s="1" t="s">
        <v>137</v>
      </c>
      <c r="V21">
        <f t="shared" si="0"/>
        <v>3577.3681000000061</v>
      </c>
      <c r="W21">
        <f t="shared" si="1"/>
        <v>1993</v>
      </c>
      <c r="X21">
        <f t="shared" si="2"/>
        <v>207</v>
      </c>
    </row>
    <row r="22" spans="1:24" x14ac:dyDescent="0.5">
      <c r="A22" t="s">
        <v>138</v>
      </c>
      <c r="B22">
        <v>1</v>
      </c>
      <c r="C22">
        <v>1</v>
      </c>
      <c r="D22" t="b">
        <v>1</v>
      </c>
      <c r="E22" s="1" t="s">
        <v>139</v>
      </c>
      <c r="F22">
        <v>50</v>
      </c>
      <c r="G22">
        <v>1</v>
      </c>
      <c r="H22">
        <v>444</v>
      </c>
      <c r="I22">
        <v>25</v>
      </c>
      <c r="J22" s="1" t="s">
        <v>140</v>
      </c>
      <c r="K22">
        <v>960</v>
      </c>
      <c r="L22">
        <v>105</v>
      </c>
      <c r="M22" s="1" t="s">
        <v>141</v>
      </c>
      <c r="N22">
        <v>595</v>
      </c>
      <c r="O22">
        <v>57</v>
      </c>
      <c r="P22" s="1" t="s">
        <v>142</v>
      </c>
      <c r="Q22">
        <v>4</v>
      </c>
      <c r="R22">
        <v>4</v>
      </c>
      <c r="S22">
        <v>4</v>
      </c>
      <c r="T22">
        <v>88.939024390243901</v>
      </c>
      <c r="U22" s="1" t="s">
        <v>143</v>
      </c>
      <c r="V22">
        <f t="shared" si="0"/>
        <v>4074.8786999999802</v>
      </c>
      <c r="W22">
        <f t="shared" si="1"/>
        <v>1999</v>
      </c>
      <c r="X22">
        <f t="shared" si="2"/>
        <v>187</v>
      </c>
    </row>
    <row r="23" spans="1:24" x14ac:dyDescent="0.5">
      <c r="A23" t="s">
        <v>144</v>
      </c>
      <c r="B23">
        <v>1</v>
      </c>
      <c r="C23">
        <v>1</v>
      </c>
      <c r="D23" t="b">
        <v>1</v>
      </c>
      <c r="E23" s="1" t="s">
        <v>145</v>
      </c>
      <c r="F23">
        <v>20</v>
      </c>
      <c r="G23">
        <v>0</v>
      </c>
      <c r="H23">
        <v>444</v>
      </c>
      <c r="I23">
        <v>25</v>
      </c>
      <c r="J23" s="1" t="s">
        <v>146</v>
      </c>
      <c r="K23">
        <v>960</v>
      </c>
      <c r="L23">
        <v>185</v>
      </c>
      <c r="M23" s="1" t="s">
        <v>147</v>
      </c>
      <c r="N23">
        <v>608</v>
      </c>
      <c r="O23">
        <v>57</v>
      </c>
      <c r="P23" s="1" t="s">
        <v>148</v>
      </c>
      <c r="Q23">
        <v>3</v>
      </c>
      <c r="R23">
        <v>4</v>
      </c>
      <c r="S23">
        <v>3</v>
      </c>
      <c r="T23" s="1" t="s">
        <v>149</v>
      </c>
      <c r="U23" s="1" t="s">
        <v>150</v>
      </c>
      <c r="V23">
        <f t="shared" si="0"/>
        <v>5181.887799999985</v>
      </c>
      <c r="W23">
        <f t="shared" si="1"/>
        <v>2012</v>
      </c>
      <c r="X23">
        <f t="shared" si="2"/>
        <v>267</v>
      </c>
    </row>
    <row r="24" spans="1:24" x14ac:dyDescent="0.5">
      <c r="A24" t="s">
        <v>151</v>
      </c>
      <c r="B24">
        <v>1</v>
      </c>
      <c r="C24">
        <v>1</v>
      </c>
      <c r="D24" t="b">
        <v>1</v>
      </c>
      <c r="E24" s="1" t="s">
        <v>152</v>
      </c>
      <c r="F24">
        <v>100</v>
      </c>
      <c r="G24">
        <v>1</v>
      </c>
      <c r="H24">
        <v>444</v>
      </c>
      <c r="I24">
        <v>25</v>
      </c>
      <c r="J24" s="1" t="s">
        <v>153</v>
      </c>
      <c r="K24">
        <v>960</v>
      </c>
      <c r="L24">
        <v>160</v>
      </c>
      <c r="M24" s="1" t="s">
        <v>154</v>
      </c>
      <c r="N24">
        <v>595</v>
      </c>
      <c r="O24">
        <v>57</v>
      </c>
      <c r="P24" s="1" t="s">
        <v>155</v>
      </c>
      <c r="Q24">
        <v>3</v>
      </c>
      <c r="R24">
        <v>5</v>
      </c>
      <c r="S24">
        <v>4</v>
      </c>
      <c r="T24" s="1" t="s">
        <v>156</v>
      </c>
      <c r="U24" s="1" t="s">
        <v>157</v>
      </c>
      <c r="V24">
        <f t="shared" si="0"/>
        <v>4481.4237999999696</v>
      </c>
      <c r="W24">
        <f t="shared" si="1"/>
        <v>1999</v>
      </c>
      <c r="X24">
        <f t="shared" si="2"/>
        <v>242</v>
      </c>
    </row>
    <row r="25" spans="1:24" x14ac:dyDescent="0.5">
      <c r="A25" t="s">
        <v>158</v>
      </c>
      <c r="B25">
        <v>1</v>
      </c>
      <c r="C25">
        <v>1</v>
      </c>
      <c r="D25" t="b">
        <v>1</v>
      </c>
      <c r="E25">
        <v>100</v>
      </c>
      <c r="F25">
        <v>100</v>
      </c>
      <c r="G25">
        <v>1</v>
      </c>
      <c r="H25">
        <v>444</v>
      </c>
      <c r="I25">
        <v>25</v>
      </c>
      <c r="J25" s="1" t="s">
        <v>159</v>
      </c>
      <c r="K25">
        <v>960</v>
      </c>
      <c r="L25">
        <v>113</v>
      </c>
      <c r="M25" s="1" t="s">
        <v>160</v>
      </c>
      <c r="N25">
        <v>593</v>
      </c>
      <c r="O25">
        <v>57</v>
      </c>
      <c r="P25" s="1" t="s">
        <v>161</v>
      </c>
      <c r="Q25">
        <v>5</v>
      </c>
      <c r="R25">
        <v>4</v>
      </c>
      <c r="S25">
        <v>5</v>
      </c>
      <c r="T25">
        <v>98</v>
      </c>
      <c r="U25">
        <v>99</v>
      </c>
      <c r="V25">
        <f t="shared" si="0"/>
        <v>3627.2802999999894</v>
      </c>
      <c r="W25">
        <f t="shared" si="1"/>
        <v>1997</v>
      </c>
      <c r="X25">
        <f t="shared" si="2"/>
        <v>195</v>
      </c>
    </row>
    <row r="26" spans="1:24" x14ac:dyDescent="0.5">
      <c r="A26" t="s">
        <v>162</v>
      </c>
      <c r="B26">
        <v>1</v>
      </c>
      <c r="C26">
        <v>1</v>
      </c>
      <c r="D26" t="b">
        <v>1</v>
      </c>
      <c r="E26" s="1" t="s">
        <v>163</v>
      </c>
      <c r="F26">
        <v>60</v>
      </c>
      <c r="G26">
        <v>0</v>
      </c>
      <c r="H26">
        <v>444</v>
      </c>
      <c r="I26">
        <v>25</v>
      </c>
      <c r="J26" s="1" t="s">
        <v>164</v>
      </c>
      <c r="K26">
        <v>960</v>
      </c>
      <c r="L26">
        <v>179</v>
      </c>
      <c r="M26" s="1" t="s">
        <v>165</v>
      </c>
      <c r="N26">
        <v>597</v>
      </c>
      <c r="O26">
        <v>57</v>
      </c>
      <c r="P26" s="1" t="s">
        <v>166</v>
      </c>
      <c r="Q26">
        <v>2</v>
      </c>
      <c r="R26">
        <v>4</v>
      </c>
      <c r="S26">
        <v>3</v>
      </c>
      <c r="T26" s="1" t="s">
        <v>167</v>
      </c>
      <c r="U26" s="1" t="s">
        <v>168</v>
      </c>
      <c r="V26">
        <f t="shared" si="0"/>
        <v>4034.6370999999808</v>
      </c>
      <c r="W26">
        <f t="shared" si="1"/>
        <v>2001</v>
      </c>
      <c r="X26">
        <f t="shared" si="2"/>
        <v>261</v>
      </c>
    </row>
    <row r="27" spans="1:24" x14ac:dyDescent="0.5">
      <c r="A27" t="s">
        <v>169</v>
      </c>
      <c r="B27">
        <v>1</v>
      </c>
      <c r="C27">
        <v>1</v>
      </c>
      <c r="D27" t="b">
        <v>1</v>
      </c>
      <c r="E27">
        <v>100</v>
      </c>
      <c r="F27">
        <v>100</v>
      </c>
      <c r="G27">
        <v>1</v>
      </c>
      <c r="H27">
        <v>444</v>
      </c>
      <c r="I27">
        <v>25</v>
      </c>
      <c r="J27" s="1" t="s">
        <v>170</v>
      </c>
      <c r="K27">
        <v>960</v>
      </c>
      <c r="L27">
        <v>116</v>
      </c>
      <c r="M27">
        <v>1819.547</v>
      </c>
      <c r="N27">
        <v>601</v>
      </c>
      <c r="O27">
        <v>57</v>
      </c>
      <c r="P27" s="1" t="s">
        <v>171</v>
      </c>
      <c r="Q27">
        <v>4</v>
      </c>
      <c r="R27">
        <v>3</v>
      </c>
      <c r="S27">
        <v>4</v>
      </c>
      <c r="T27">
        <v>92</v>
      </c>
      <c r="U27">
        <v>96</v>
      </c>
      <c r="V27">
        <f t="shared" si="0"/>
        <v>4329.2983000000013</v>
      </c>
      <c r="W27">
        <f t="shared" si="1"/>
        <v>2005</v>
      </c>
      <c r="X27">
        <f t="shared" si="2"/>
        <v>198</v>
      </c>
    </row>
    <row r="28" spans="1:24" x14ac:dyDescent="0.5">
      <c r="A28" t="s">
        <v>172</v>
      </c>
      <c r="B28">
        <v>1</v>
      </c>
      <c r="C28">
        <v>1</v>
      </c>
      <c r="D28" t="b">
        <v>1</v>
      </c>
      <c r="E28" s="1" t="s">
        <v>173</v>
      </c>
      <c r="F28" s="1" t="s">
        <v>174</v>
      </c>
      <c r="G28">
        <v>1</v>
      </c>
      <c r="H28">
        <v>444</v>
      </c>
      <c r="I28">
        <v>25</v>
      </c>
      <c r="J28" s="1" t="s">
        <v>175</v>
      </c>
      <c r="K28">
        <v>960</v>
      </c>
      <c r="L28">
        <v>181</v>
      </c>
      <c r="M28" s="1" t="s">
        <v>176</v>
      </c>
      <c r="N28">
        <v>605</v>
      </c>
      <c r="O28">
        <v>57</v>
      </c>
      <c r="P28">
        <v>712.23050000000399</v>
      </c>
      <c r="Q28">
        <v>5</v>
      </c>
      <c r="R28">
        <v>5</v>
      </c>
      <c r="S28">
        <v>5</v>
      </c>
      <c r="T28" s="1" t="s">
        <v>177</v>
      </c>
      <c r="U28" s="1" t="s">
        <v>178</v>
      </c>
      <c r="V28">
        <f t="shared" si="0"/>
        <v>2847.2269000000224</v>
      </c>
      <c r="W28">
        <f t="shared" si="1"/>
        <v>2009</v>
      </c>
      <c r="X28">
        <f t="shared" si="2"/>
        <v>263</v>
      </c>
    </row>
    <row r="29" spans="1:24" x14ac:dyDescent="0.5">
      <c r="A29" t="s">
        <v>179</v>
      </c>
      <c r="B29">
        <v>1</v>
      </c>
      <c r="C29">
        <v>0</v>
      </c>
      <c r="D29" t="b">
        <v>1</v>
      </c>
      <c r="E29" s="1" t="s">
        <v>180</v>
      </c>
      <c r="F29">
        <v>10</v>
      </c>
      <c r="G29">
        <v>0</v>
      </c>
      <c r="H29">
        <v>444</v>
      </c>
      <c r="I29">
        <v>25</v>
      </c>
      <c r="J29" s="1" t="s">
        <v>181</v>
      </c>
      <c r="K29">
        <v>960</v>
      </c>
      <c r="L29">
        <v>159</v>
      </c>
      <c r="M29" s="1" t="s">
        <v>182</v>
      </c>
      <c r="N29">
        <v>587</v>
      </c>
      <c r="O29">
        <v>57</v>
      </c>
      <c r="P29" s="1" t="s">
        <v>183</v>
      </c>
      <c r="Q29">
        <v>3</v>
      </c>
      <c r="R29">
        <v>3</v>
      </c>
      <c r="S29">
        <v>3</v>
      </c>
      <c r="T29" s="1" t="s">
        <v>184</v>
      </c>
      <c r="U29" s="1" t="s">
        <v>185</v>
      </c>
      <c r="V29">
        <f t="shared" si="0"/>
        <v>2639.1254000000031</v>
      </c>
      <c r="W29">
        <f t="shared" si="1"/>
        <v>1991</v>
      </c>
      <c r="X29">
        <f t="shared" si="2"/>
        <v>241</v>
      </c>
    </row>
    <row r="30" spans="1:24" x14ac:dyDescent="0.5">
      <c r="A30" t="s">
        <v>186</v>
      </c>
      <c r="B30">
        <v>1</v>
      </c>
      <c r="C30">
        <v>0</v>
      </c>
      <c r="D30" t="b">
        <v>1</v>
      </c>
      <c r="E30" s="1" t="s">
        <v>187</v>
      </c>
      <c r="F30">
        <v>40</v>
      </c>
      <c r="G30">
        <v>1</v>
      </c>
      <c r="H30">
        <v>444</v>
      </c>
      <c r="I30">
        <v>25</v>
      </c>
      <c r="J30" s="1" t="s">
        <v>188</v>
      </c>
      <c r="K30">
        <v>960</v>
      </c>
      <c r="L30">
        <v>163</v>
      </c>
      <c r="M30" s="1" t="s">
        <v>189</v>
      </c>
      <c r="N30">
        <v>597</v>
      </c>
      <c r="O30">
        <v>57</v>
      </c>
      <c r="P30" s="1" t="s">
        <v>190</v>
      </c>
      <c r="Q30">
        <v>5</v>
      </c>
      <c r="R30">
        <v>4</v>
      </c>
      <c r="S30">
        <v>4</v>
      </c>
      <c r="T30">
        <v>87.642496392496398</v>
      </c>
      <c r="U30">
        <v>63.821248196248199</v>
      </c>
      <c r="V30">
        <f t="shared" si="0"/>
        <v>3450.552900000006</v>
      </c>
      <c r="W30">
        <f t="shared" si="1"/>
        <v>2001</v>
      </c>
      <c r="X30">
        <f t="shared" si="2"/>
        <v>245</v>
      </c>
    </row>
    <row r="31" spans="1:24" x14ac:dyDescent="0.5">
      <c r="A31" t="s">
        <v>191</v>
      </c>
      <c r="B31">
        <v>1</v>
      </c>
      <c r="C31">
        <v>1</v>
      </c>
      <c r="D31" t="b">
        <v>1</v>
      </c>
      <c r="E31" s="1" t="s">
        <v>192</v>
      </c>
      <c r="F31" s="1" t="s">
        <v>108</v>
      </c>
      <c r="G31">
        <v>0</v>
      </c>
      <c r="H31">
        <v>444</v>
      </c>
      <c r="I31">
        <v>25</v>
      </c>
      <c r="J31" s="1" t="s">
        <v>193</v>
      </c>
      <c r="K31">
        <v>960</v>
      </c>
      <c r="L31">
        <v>171</v>
      </c>
      <c r="M31" s="1" t="s">
        <v>194</v>
      </c>
      <c r="N31">
        <v>592</v>
      </c>
      <c r="O31">
        <v>57</v>
      </c>
      <c r="P31">
        <v>954.80419999999799</v>
      </c>
      <c r="Q31">
        <v>3</v>
      </c>
      <c r="R31">
        <v>4</v>
      </c>
      <c r="S31">
        <v>4</v>
      </c>
      <c r="T31" s="1" t="s">
        <v>195</v>
      </c>
      <c r="U31" s="1" t="s">
        <v>196</v>
      </c>
      <c r="V31">
        <f t="shared" si="0"/>
        <v>4031.6747999999779</v>
      </c>
      <c r="W31">
        <f t="shared" si="1"/>
        <v>1996</v>
      </c>
      <c r="X31">
        <f t="shared" si="2"/>
        <v>253</v>
      </c>
    </row>
    <row r="32" spans="1:24" x14ac:dyDescent="0.5">
      <c r="A32" t="s">
        <v>197</v>
      </c>
      <c r="B32">
        <v>1</v>
      </c>
      <c r="C32">
        <v>1</v>
      </c>
      <c r="D32" t="b">
        <v>1</v>
      </c>
      <c r="E32" s="1" t="s">
        <v>198</v>
      </c>
      <c r="F32">
        <v>0</v>
      </c>
      <c r="G32">
        <v>0</v>
      </c>
      <c r="H32">
        <v>444</v>
      </c>
      <c r="I32">
        <v>25</v>
      </c>
      <c r="J32" s="1" t="s">
        <v>199</v>
      </c>
      <c r="K32">
        <v>960</v>
      </c>
      <c r="L32">
        <v>117</v>
      </c>
      <c r="M32" s="1" t="s">
        <v>200</v>
      </c>
      <c r="N32">
        <v>598</v>
      </c>
      <c r="O32">
        <v>57</v>
      </c>
      <c r="P32" s="1" t="s">
        <v>201</v>
      </c>
      <c r="Q32">
        <v>3</v>
      </c>
      <c r="R32">
        <v>4</v>
      </c>
      <c r="S32">
        <v>4</v>
      </c>
      <c r="T32" s="1" t="s">
        <v>202</v>
      </c>
      <c r="U32" s="1" t="s">
        <v>203</v>
      </c>
      <c r="V32">
        <f t="shared" si="0"/>
        <v>4097.8273000000008</v>
      </c>
      <c r="W32">
        <f t="shared" si="1"/>
        <v>2002</v>
      </c>
      <c r="X32">
        <f t="shared" si="2"/>
        <v>199</v>
      </c>
    </row>
    <row r="33" spans="1:24" x14ac:dyDescent="0.5">
      <c r="A33" t="s">
        <v>204</v>
      </c>
      <c r="B33">
        <v>1</v>
      </c>
      <c r="C33">
        <v>1</v>
      </c>
      <c r="D33" t="b">
        <v>1</v>
      </c>
      <c r="E33" s="1" t="s">
        <v>205</v>
      </c>
      <c r="F33">
        <v>50</v>
      </c>
      <c r="G33">
        <v>1</v>
      </c>
      <c r="H33">
        <v>444</v>
      </c>
      <c r="I33">
        <v>25</v>
      </c>
      <c r="J33" s="1" t="s">
        <v>206</v>
      </c>
      <c r="K33">
        <v>960</v>
      </c>
      <c r="L33">
        <v>137</v>
      </c>
      <c r="M33" s="1" t="s">
        <v>207</v>
      </c>
      <c r="N33">
        <v>594</v>
      </c>
      <c r="O33">
        <v>57</v>
      </c>
      <c r="P33" s="1" t="s">
        <v>208</v>
      </c>
      <c r="Q33">
        <v>4</v>
      </c>
      <c r="R33">
        <v>5</v>
      </c>
      <c r="S33">
        <v>5</v>
      </c>
      <c r="T33" s="1" t="s">
        <v>209</v>
      </c>
      <c r="U33" s="1" t="s">
        <v>210</v>
      </c>
      <c r="V33">
        <f t="shared" si="0"/>
        <v>3587.9590000000098</v>
      </c>
      <c r="W33">
        <f t="shared" si="1"/>
        <v>1998</v>
      </c>
      <c r="X33">
        <f t="shared" si="2"/>
        <v>219</v>
      </c>
    </row>
    <row r="34" spans="1:24" x14ac:dyDescent="0.5">
      <c r="A34" t="s">
        <v>211</v>
      </c>
      <c r="B34">
        <v>1</v>
      </c>
      <c r="C34">
        <v>1</v>
      </c>
      <c r="D34" t="b">
        <v>1</v>
      </c>
      <c r="E34" s="1" t="s">
        <v>212</v>
      </c>
      <c r="F34">
        <v>0</v>
      </c>
      <c r="G34">
        <v>0</v>
      </c>
      <c r="H34">
        <v>444</v>
      </c>
      <c r="I34">
        <v>25</v>
      </c>
      <c r="J34" s="1" t="s">
        <v>213</v>
      </c>
      <c r="K34">
        <v>960</v>
      </c>
      <c r="L34">
        <v>120</v>
      </c>
      <c r="M34" s="1" t="s">
        <v>214</v>
      </c>
      <c r="N34">
        <v>595</v>
      </c>
      <c r="O34">
        <v>57</v>
      </c>
      <c r="P34" s="1" t="s">
        <v>215</v>
      </c>
      <c r="Q34">
        <v>2</v>
      </c>
      <c r="R34">
        <v>4</v>
      </c>
      <c r="S34">
        <v>4</v>
      </c>
      <c r="T34" s="1" t="s">
        <v>216</v>
      </c>
      <c r="U34" s="1" t="s">
        <v>217</v>
      </c>
      <c r="V34">
        <f t="shared" si="0"/>
        <v>4484.8724999999768</v>
      </c>
      <c r="W34">
        <f t="shared" si="1"/>
        <v>1999</v>
      </c>
      <c r="X34">
        <f t="shared" si="2"/>
        <v>202</v>
      </c>
    </row>
    <row r="35" spans="1:24" x14ac:dyDescent="0.5">
      <c r="A35" t="s">
        <v>218</v>
      </c>
      <c r="B35">
        <v>1</v>
      </c>
      <c r="C35">
        <v>1</v>
      </c>
      <c r="D35" t="b">
        <v>1</v>
      </c>
      <c r="E35" s="1" t="s">
        <v>219</v>
      </c>
      <c r="F35">
        <v>50</v>
      </c>
      <c r="G35">
        <v>0</v>
      </c>
      <c r="H35">
        <v>444</v>
      </c>
      <c r="I35">
        <v>25</v>
      </c>
      <c r="J35" s="1" t="s">
        <v>220</v>
      </c>
      <c r="K35">
        <v>960</v>
      </c>
      <c r="L35">
        <v>169</v>
      </c>
      <c r="M35" s="1" t="s">
        <v>221</v>
      </c>
      <c r="N35">
        <v>606</v>
      </c>
      <c r="O35">
        <v>57</v>
      </c>
      <c r="P35">
        <v>927.55750000000603</v>
      </c>
      <c r="Q35">
        <v>2</v>
      </c>
      <c r="R35">
        <v>4</v>
      </c>
      <c r="S35">
        <v>5</v>
      </c>
      <c r="T35" s="1" t="s">
        <v>222</v>
      </c>
      <c r="U35" s="1" t="s">
        <v>223</v>
      </c>
      <c r="V35">
        <f t="shared" si="0"/>
        <v>3537.4150000000072</v>
      </c>
      <c r="W35">
        <f t="shared" si="1"/>
        <v>2010</v>
      </c>
      <c r="X35">
        <f t="shared" si="2"/>
        <v>251</v>
      </c>
    </row>
    <row r="36" spans="1:24" x14ac:dyDescent="0.5">
      <c r="A36" t="s">
        <v>224</v>
      </c>
      <c r="B36">
        <v>1</v>
      </c>
      <c r="C36">
        <v>1</v>
      </c>
      <c r="D36" t="b">
        <v>1</v>
      </c>
      <c r="E36">
        <v>97.5</v>
      </c>
      <c r="F36">
        <v>0</v>
      </c>
      <c r="G36">
        <v>0</v>
      </c>
      <c r="H36">
        <v>444</v>
      </c>
      <c r="I36">
        <v>25</v>
      </c>
      <c r="J36" s="1" t="s">
        <v>225</v>
      </c>
      <c r="K36">
        <v>960</v>
      </c>
      <c r="L36">
        <v>114</v>
      </c>
      <c r="M36" s="1" t="s">
        <v>226</v>
      </c>
      <c r="N36">
        <v>596</v>
      </c>
      <c r="O36">
        <v>57</v>
      </c>
      <c r="P36" s="1" t="s">
        <v>227</v>
      </c>
      <c r="Q36">
        <v>2</v>
      </c>
      <c r="R36">
        <v>4</v>
      </c>
      <c r="S36">
        <v>5</v>
      </c>
      <c r="T36">
        <v>31.75</v>
      </c>
      <c r="U36">
        <v>65.875</v>
      </c>
      <c r="V36">
        <f t="shared" si="0"/>
        <v>5099.335000000021</v>
      </c>
      <c r="W36">
        <f t="shared" si="1"/>
        <v>2000</v>
      </c>
      <c r="X36">
        <f t="shared" si="2"/>
        <v>196</v>
      </c>
    </row>
    <row r="37" spans="1:24" x14ac:dyDescent="0.5">
      <c r="A37" t="s">
        <v>228</v>
      </c>
      <c r="B37">
        <v>1</v>
      </c>
      <c r="C37">
        <v>1</v>
      </c>
      <c r="D37" t="b">
        <v>1</v>
      </c>
      <c r="E37" s="1" t="s">
        <v>229</v>
      </c>
      <c r="F37">
        <v>20</v>
      </c>
      <c r="G37">
        <v>1</v>
      </c>
      <c r="H37">
        <v>444</v>
      </c>
      <c r="I37">
        <v>25</v>
      </c>
      <c r="J37" s="1" t="s">
        <v>230</v>
      </c>
      <c r="K37">
        <v>960</v>
      </c>
      <c r="L37">
        <v>145</v>
      </c>
      <c r="M37" s="1" t="s">
        <v>231</v>
      </c>
      <c r="N37">
        <v>589</v>
      </c>
      <c r="O37">
        <v>57</v>
      </c>
      <c r="P37" s="1" t="s">
        <v>232</v>
      </c>
      <c r="Q37">
        <v>3</v>
      </c>
      <c r="R37">
        <v>4</v>
      </c>
      <c r="S37">
        <v>3</v>
      </c>
      <c r="T37" s="1" t="s">
        <v>233</v>
      </c>
      <c r="U37" s="1" t="s">
        <v>234</v>
      </c>
      <c r="V37">
        <f t="shared" si="0"/>
        <v>4230.0574999999808</v>
      </c>
      <c r="W37">
        <f t="shared" si="1"/>
        <v>1993</v>
      </c>
      <c r="X37">
        <f t="shared" si="2"/>
        <v>227</v>
      </c>
    </row>
    <row r="38" spans="1:24" x14ac:dyDescent="0.5">
      <c r="A38" t="s">
        <v>235</v>
      </c>
      <c r="B38">
        <v>1</v>
      </c>
      <c r="C38">
        <v>0</v>
      </c>
      <c r="D38" t="b">
        <v>1</v>
      </c>
      <c r="E38" s="1" t="s">
        <v>236</v>
      </c>
      <c r="F38">
        <v>25</v>
      </c>
      <c r="G38">
        <v>1</v>
      </c>
      <c r="H38">
        <v>444</v>
      </c>
      <c r="I38">
        <v>25</v>
      </c>
      <c r="J38" s="1" t="s">
        <v>237</v>
      </c>
      <c r="K38">
        <v>960</v>
      </c>
      <c r="L38">
        <v>119</v>
      </c>
      <c r="M38" s="1" t="s">
        <v>238</v>
      </c>
      <c r="N38">
        <v>590</v>
      </c>
      <c r="O38">
        <v>57</v>
      </c>
      <c r="P38" s="1" t="s">
        <v>239</v>
      </c>
      <c r="Q38">
        <v>4</v>
      </c>
      <c r="R38">
        <v>5</v>
      </c>
      <c r="S38">
        <v>4</v>
      </c>
      <c r="T38" s="1" t="s">
        <v>240</v>
      </c>
      <c r="U38" s="1" t="s">
        <v>241</v>
      </c>
      <c r="V38">
        <f t="shared" si="0"/>
        <v>4130.0315999999912</v>
      </c>
      <c r="W38">
        <f t="shared" si="1"/>
        <v>1994</v>
      </c>
      <c r="X38">
        <f t="shared" si="2"/>
        <v>201</v>
      </c>
    </row>
    <row r="39" spans="1:24" x14ac:dyDescent="0.5">
      <c r="A39" t="s">
        <v>242</v>
      </c>
      <c r="B39">
        <v>1</v>
      </c>
      <c r="C39">
        <v>1</v>
      </c>
      <c r="D39" t="b">
        <v>1</v>
      </c>
      <c r="E39" s="1" t="s">
        <v>243</v>
      </c>
      <c r="F39">
        <v>0</v>
      </c>
      <c r="G39">
        <v>1</v>
      </c>
      <c r="H39">
        <v>444</v>
      </c>
      <c r="I39">
        <v>25</v>
      </c>
      <c r="J39" s="1" t="s">
        <v>244</v>
      </c>
      <c r="K39">
        <v>960</v>
      </c>
      <c r="L39">
        <v>173</v>
      </c>
      <c r="M39" s="1" t="s">
        <v>245</v>
      </c>
      <c r="N39">
        <v>602</v>
      </c>
      <c r="O39">
        <v>57</v>
      </c>
      <c r="P39" s="1" t="s">
        <v>246</v>
      </c>
      <c r="Q39">
        <v>3</v>
      </c>
      <c r="R39">
        <v>4</v>
      </c>
      <c r="S39">
        <v>5</v>
      </c>
      <c r="T39" s="1" t="s">
        <v>247</v>
      </c>
      <c r="U39" s="1" t="s">
        <v>248</v>
      </c>
      <c r="V39">
        <f t="shared" si="0"/>
        <v>4581.2382999999509</v>
      </c>
      <c r="W39">
        <f t="shared" si="1"/>
        <v>2006</v>
      </c>
      <c r="X39">
        <f t="shared" si="2"/>
        <v>255</v>
      </c>
    </row>
    <row r="40" spans="1:24" x14ac:dyDescent="0.5">
      <c r="A40" t="s">
        <v>249</v>
      </c>
      <c r="B40">
        <v>1</v>
      </c>
      <c r="C40">
        <v>1</v>
      </c>
      <c r="D40" t="b">
        <v>1</v>
      </c>
      <c r="E40" s="1" t="s">
        <v>250</v>
      </c>
      <c r="F40" s="1" t="s">
        <v>174</v>
      </c>
      <c r="G40">
        <v>1</v>
      </c>
      <c r="H40">
        <v>444</v>
      </c>
      <c r="I40">
        <v>25</v>
      </c>
      <c r="J40" s="1" t="s">
        <v>251</v>
      </c>
      <c r="K40">
        <v>960</v>
      </c>
      <c r="L40">
        <v>164</v>
      </c>
      <c r="M40" s="1" t="s">
        <v>252</v>
      </c>
      <c r="N40">
        <v>597</v>
      </c>
      <c r="O40">
        <v>57</v>
      </c>
      <c r="P40" s="1" t="s">
        <v>253</v>
      </c>
      <c r="Q40">
        <v>5</v>
      </c>
      <c r="R40">
        <v>4</v>
      </c>
      <c r="S40">
        <v>4</v>
      </c>
      <c r="T40">
        <v>86.965909090909093</v>
      </c>
      <c r="U40" s="1" t="s">
        <v>254</v>
      </c>
      <c r="V40">
        <f t="shared" si="0"/>
        <v>4017.7631000000179</v>
      </c>
      <c r="W40">
        <f t="shared" si="1"/>
        <v>2001</v>
      </c>
      <c r="X40">
        <f t="shared" si="2"/>
        <v>246</v>
      </c>
    </row>
    <row r="41" spans="1:24" x14ac:dyDescent="0.5">
      <c r="A41" t="s">
        <v>255</v>
      </c>
      <c r="B41">
        <v>1</v>
      </c>
      <c r="C41">
        <v>1</v>
      </c>
      <c r="D41" t="b">
        <v>1</v>
      </c>
      <c r="E41" s="1" t="s">
        <v>256</v>
      </c>
      <c r="F41">
        <v>20</v>
      </c>
      <c r="G41">
        <v>1</v>
      </c>
      <c r="H41">
        <v>444</v>
      </c>
      <c r="I41">
        <v>25</v>
      </c>
      <c r="J41">
        <v>891.75879999999097</v>
      </c>
      <c r="K41">
        <v>960</v>
      </c>
      <c r="L41">
        <v>152</v>
      </c>
      <c r="M41" s="1" t="s">
        <v>257</v>
      </c>
      <c r="N41">
        <v>601</v>
      </c>
      <c r="O41">
        <v>57</v>
      </c>
      <c r="P41" s="1" t="s">
        <v>258</v>
      </c>
      <c r="Q41">
        <v>5</v>
      </c>
      <c r="R41">
        <v>2</v>
      </c>
      <c r="S41">
        <v>2</v>
      </c>
      <c r="T41" s="1" t="s">
        <v>259</v>
      </c>
      <c r="U41" s="1" t="s">
        <v>260</v>
      </c>
      <c r="V41">
        <f t="shared" si="0"/>
        <v>3753.479699999983</v>
      </c>
      <c r="W41">
        <f t="shared" si="1"/>
        <v>2005</v>
      </c>
      <c r="X41">
        <f t="shared" si="2"/>
        <v>234</v>
      </c>
    </row>
    <row r="42" spans="1:24" x14ac:dyDescent="0.5">
      <c r="A42" t="s">
        <v>261</v>
      </c>
      <c r="B42">
        <v>1</v>
      </c>
      <c r="C42">
        <v>1</v>
      </c>
      <c r="D42" t="b">
        <v>1</v>
      </c>
      <c r="E42" s="1" t="s">
        <v>262</v>
      </c>
      <c r="F42">
        <v>0</v>
      </c>
      <c r="G42">
        <v>0</v>
      </c>
      <c r="H42">
        <v>444</v>
      </c>
      <c r="I42">
        <v>25</v>
      </c>
      <c r="J42" s="1" t="s">
        <v>263</v>
      </c>
      <c r="K42">
        <v>960</v>
      </c>
      <c r="L42">
        <v>114</v>
      </c>
      <c r="M42" s="1" t="s">
        <v>264</v>
      </c>
      <c r="N42">
        <v>596</v>
      </c>
      <c r="O42">
        <v>57</v>
      </c>
      <c r="P42" s="1" t="s">
        <v>265</v>
      </c>
      <c r="Q42">
        <v>3</v>
      </c>
      <c r="R42">
        <v>5</v>
      </c>
      <c r="S42">
        <v>5</v>
      </c>
      <c r="T42" s="1" t="s">
        <v>266</v>
      </c>
      <c r="U42" s="1" t="s">
        <v>267</v>
      </c>
      <c r="V42">
        <f t="shared" si="0"/>
        <v>3066.4040999999684</v>
      </c>
      <c r="W42">
        <f t="shared" si="1"/>
        <v>2000</v>
      </c>
      <c r="X42">
        <f t="shared" si="2"/>
        <v>196</v>
      </c>
    </row>
    <row r="43" spans="1:24" x14ac:dyDescent="0.5">
      <c r="A43" t="s">
        <v>268</v>
      </c>
      <c r="B43">
        <v>1</v>
      </c>
      <c r="C43">
        <v>1</v>
      </c>
      <c r="D43" t="b">
        <v>1</v>
      </c>
      <c r="E43">
        <v>0</v>
      </c>
      <c r="F43">
        <v>100</v>
      </c>
      <c r="G43">
        <v>1</v>
      </c>
      <c r="H43">
        <v>444</v>
      </c>
      <c r="I43">
        <v>25</v>
      </c>
      <c r="J43" s="1" t="s">
        <v>269</v>
      </c>
      <c r="K43">
        <v>960</v>
      </c>
      <c r="L43">
        <v>117</v>
      </c>
      <c r="M43" s="1" t="s">
        <v>270</v>
      </c>
      <c r="N43">
        <v>599</v>
      </c>
      <c r="O43">
        <v>57</v>
      </c>
      <c r="P43" s="1" t="s">
        <v>271</v>
      </c>
      <c r="Q43">
        <v>5</v>
      </c>
      <c r="R43">
        <v>4</v>
      </c>
      <c r="S43">
        <v>4</v>
      </c>
      <c r="T43">
        <v>86</v>
      </c>
      <c r="U43">
        <v>93</v>
      </c>
      <c r="V43">
        <f t="shared" si="0"/>
        <v>3160.5784999999792</v>
      </c>
      <c r="W43">
        <f t="shared" si="1"/>
        <v>2003</v>
      </c>
      <c r="X43">
        <f t="shared" si="2"/>
        <v>199</v>
      </c>
    </row>
    <row r="44" spans="1:24" x14ac:dyDescent="0.5">
      <c r="A44" t="s">
        <v>272</v>
      </c>
      <c r="B44">
        <v>1</v>
      </c>
      <c r="C44">
        <v>1</v>
      </c>
      <c r="D44" t="b">
        <v>1</v>
      </c>
      <c r="E44">
        <v>88.844466936572204</v>
      </c>
      <c r="F44">
        <v>80</v>
      </c>
      <c r="G44">
        <v>1</v>
      </c>
      <c r="H44">
        <v>444</v>
      </c>
      <c r="I44">
        <v>25</v>
      </c>
      <c r="J44" s="1" t="s">
        <v>273</v>
      </c>
      <c r="K44">
        <v>960</v>
      </c>
      <c r="L44">
        <v>160</v>
      </c>
      <c r="M44" s="1" t="s">
        <v>274</v>
      </c>
      <c r="N44">
        <v>598</v>
      </c>
      <c r="O44">
        <v>57</v>
      </c>
      <c r="P44">
        <v>597.38780000000702</v>
      </c>
      <c r="Q44">
        <v>5</v>
      </c>
      <c r="R44">
        <v>5</v>
      </c>
      <c r="S44">
        <v>5</v>
      </c>
      <c r="T44" s="1" t="s">
        <v>275</v>
      </c>
      <c r="U44" s="1" t="s">
        <v>276</v>
      </c>
      <c r="V44">
        <f t="shared" si="0"/>
        <v>3702.4159000000036</v>
      </c>
      <c r="W44">
        <f t="shared" si="1"/>
        <v>2002</v>
      </c>
      <c r="X44">
        <f t="shared" si="2"/>
        <v>242</v>
      </c>
    </row>
    <row r="45" spans="1:24" x14ac:dyDescent="0.5">
      <c r="A45" t="s">
        <v>277</v>
      </c>
      <c r="B45">
        <v>1</v>
      </c>
      <c r="C45">
        <v>1</v>
      </c>
      <c r="D45" t="b">
        <v>1</v>
      </c>
      <c r="E45">
        <v>94.0972222222222</v>
      </c>
      <c r="F45">
        <v>50</v>
      </c>
      <c r="G45">
        <v>0</v>
      </c>
      <c r="H45">
        <v>444</v>
      </c>
      <c r="I45">
        <v>25</v>
      </c>
      <c r="J45" s="1" t="s">
        <v>278</v>
      </c>
      <c r="K45">
        <v>960</v>
      </c>
      <c r="L45">
        <v>153</v>
      </c>
      <c r="M45" s="1" t="s">
        <v>279</v>
      </c>
      <c r="N45">
        <v>597</v>
      </c>
      <c r="O45">
        <v>57</v>
      </c>
      <c r="P45" s="1" t="s">
        <v>280</v>
      </c>
      <c r="Q45">
        <v>2</v>
      </c>
      <c r="R45">
        <v>5</v>
      </c>
      <c r="S45">
        <v>5</v>
      </c>
      <c r="T45" s="1" t="s">
        <v>281</v>
      </c>
      <c r="U45" s="1" t="s">
        <v>282</v>
      </c>
      <c r="V45">
        <f t="shared" si="0"/>
        <v>4026.818400000006</v>
      </c>
      <c r="W45">
        <f t="shared" si="1"/>
        <v>2001</v>
      </c>
      <c r="X45">
        <f t="shared" si="2"/>
        <v>235</v>
      </c>
    </row>
    <row r="46" spans="1:24" x14ac:dyDescent="0.5">
      <c r="A46" t="s">
        <v>283</v>
      </c>
      <c r="B46">
        <v>1</v>
      </c>
      <c r="C46">
        <v>1</v>
      </c>
      <c r="D46" t="b">
        <v>1</v>
      </c>
      <c r="E46">
        <v>100</v>
      </c>
      <c r="F46">
        <v>100</v>
      </c>
      <c r="G46">
        <v>1</v>
      </c>
      <c r="H46">
        <v>444</v>
      </c>
      <c r="I46">
        <v>25</v>
      </c>
      <c r="J46" s="1" t="s">
        <v>284</v>
      </c>
      <c r="K46">
        <v>960</v>
      </c>
      <c r="L46">
        <v>98</v>
      </c>
      <c r="M46" s="1" t="s">
        <v>285</v>
      </c>
      <c r="N46">
        <v>585</v>
      </c>
      <c r="O46">
        <v>57</v>
      </c>
      <c r="P46" s="1" t="s">
        <v>286</v>
      </c>
      <c r="Q46">
        <v>4</v>
      </c>
      <c r="R46">
        <v>5</v>
      </c>
      <c r="S46">
        <v>5</v>
      </c>
      <c r="T46">
        <v>98</v>
      </c>
      <c r="U46">
        <v>99</v>
      </c>
      <c r="V46">
        <f t="shared" si="0"/>
        <v>5005.8236999999699</v>
      </c>
      <c r="W46">
        <f t="shared" si="1"/>
        <v>1989</v>
      </c>
      <c r="X46">
        <f t="shared" si="2"/>
        <v>180</v>
      </c>
    </row>
    <row r="47" spans="1:24" x14ac:dyDescent="0.5">
      <c r="A47" t="s">
        <v>287</v>
      </c>
      <c r="B47">
        <v>1</v>
      </c>
      <c r="C47">
        <v>1</v>
      </c>
      <c r="D47" t="b">
        <v>1</v>
      </c>
      <c r="E47" s="1" t="s">
        <v>288</v>
      </c>
      <c r="F47">
        <v>60</v>
      </c>
      <c r="G47">
        <v>1</v>
      </c>
      <c r="H47">
        <v>444</v>
      </c>
      <c r="I47">
        <v>25</v>
      </c>
      <c r="J47" s="1" t="s">
        <v>289</v>
      </c>
      <c r="K47">
        <v>960</v>
      </c>
      <c r="L47">
        <v>148</v>
      </c>
      <c r="M47" s="1" t="s">
        <v>290</v>
      </c>
      <c r="N47">
        <v>595</v>
      </c>
      <c r="O47">
        <v>57</v>
      </c>
      <c r="P47">
        <v>754.48749999998199</v>
      </c>
      <c r="Q47">
        <v>4</v>
      </c>
      <c r="R47">
        <v>3</v>
      </c>
      <c r="S47">
        <v>5</v>
      </c>
      <c r="T47">
        <v>89.807692307692307</v>
      </c>
      <c r="U47" s="1" t="s">
        <v>291</v>
      </c>
      <c r="V47">
        <f t="shared" si="0"/>
        <v>3021.3747999999528</v>
      </c>
      <c r="W47">
        <f t="shared" si="1"/>
        <v>1999</v>
      </c>
      <c r="X47">
        <f t="shared" si="2"/>
        <v>230</v>
      </c>
    </row>
    <row r="48" spans="1:24" x14ac:dyDescent="0.5">
      <c r="A48" t="s">
        <v>292</v>
      </c>
      <c r="B48">
        <v>1</v>
      </c>
      <c r="C48">
        <v>0</v>
      </c>
      <c r="D48" t="b">
        <v>1</v>
      </c>
      <c r="E48" s="1" t="s">
        <v>293</v>
      </c>
      <c r="F48">
        <v>0</v>
      </c>
      <c r="G48">
        <v>0</v>
      </c>
      <c r="H48">
        <v>444</v>
      </c>
      <c r="I48">
        <v>25</v>
      </c>
      <c r="J48" s="1" t="s">
        <v>294</v>
      </c>
      <c r="K48">
        <v>960</v>
      </c>
      <c r="L48">
        <v>120</v>
      </c>
      <c r="M48" s="1" t="s">
        <v>295</v>
      </c>
      <c r="N48">
        <v>604</v>
      </c>
      <c r="O48">
        <v>57</v>
      </c>
      <c r="P48" s="1" t="s">
        <v>296</v>
      </c>
      <c r="Q48">
        <v>2</v>
      </c>
      <c r="R48">
        <v>4</v>
      </c>
      <c r="S48">
        <v>3</v>
      </c>
      <c r="T48" s="1" t="s">
        <v>297</v>
      </c>
      <c r="U48" s="1" t="s">
        <v>298</v>
      </c>
      <c r="V48">
        <f t="shared" si="0"/>
        <v>3482.5038999999701</v>
      </c>
      <c r="W48">
        <f t="shared" si="1"/>
        <v>2008</v>
      </c>
      <c r="X48">
        <f t="shared" si="2"/>
        <v>202</v>
      </c>
    </row>
    <row r="49" spans="1:24" x14ac:dyDescent="0.5">
      <c r="A49" t="s">
        <v>299</v>
      </c>
      <c r="B49">
        <v>1</v>
      </c>
      <c r="C49">
        <v>1</v>
      </c>
      <c r="D49" t="b">
        <v>1</v>
      </c>
      <c r="E49">
        <v>89.817994505494497</v>
      </c>
      <c r="F49" s="1" t="s">
        <v>300</v>
      </c>
      <c r="G49">
        <v>1</v>
      </c>
      <c r="H49">
        <v>444</v>
      </c>
      <c r="I49">
        <v>25</v>
      </c>
      <c r="J49" s="1" t="s">
        <v>301</v>
      </c>
      <c r="K49">
        <v>960</v>
      </c>
      <c r="L49">
        <v>179</v>
      </c>
      <c r="M49" s="1" t="s">
        <v>302</v>
      </c>
      <c r="N49">
        <v>597</v>
      </c>
      <c r="O49">
        <v>57</v>
      </c>
      <c r="P49" s="1" t="s">
        <v>303</v>
      </c>
      <c r="Q49">
        <v>4</v>
      </c>
      <c r="R49">
        <v>5</v>
      </c>
      <c r="S49">
        <v>5</v>
      </c>
      <c r="T49" s="1" t="s">
        <v>304</v>
      </c>
      <c r="U49" s="1" t="s">
        <v>305</v>
      </c>
      <c r="V49">
        <f t="shared" si="0"/>
        <v>3107.9183999999841</v>
      </c>
      <c r="W49">
        <f t="shared" si="1"/>
        <v>2001</v>
      </c>
      <c r="X49">
        <f t="shared" si="2"/>
        <v>261</v>
      </c>
    </row>
    <row r="50" spans="1:24" x14ac:dyDescent="0.5">
      <c r="A50" t="s">
        <v>306</v>
      </c>
      <c r="B50">
        <v>1</v>
      </c>
      <c r="C50">
        <v>1</v>
      </c>
      <c r="D50" t="b">
        <v>1</v>
      </c>
      <c r="E50" s="1" t="s">
        <v>307</v>
      </c>
      <c r="F50">
        <v>40</v>
      </c>
      <c r="G50">
        <v>1</v>
      </c>
      <c r="H50">
        <v>444</v>
      </c>
      <c r="I50">
        <v>25</v>
      </c>
      <c r="J50" s="1" t="s">
        <v>308</v>
      </c>
      <c r="K50">
        <v>960</v>
      </c>
      <c r="L50">
        <v>153</v>
      </c>
      <c r="M50" s="1" t="s">
        <v>309</v>
      </c>
      <c r="N50">
        <v>591</v>
      </c>
      <c r="O50">
        <v>57</v>
      </c>
      <c r="P50" s="1" t="s">
        <v>310</v>
      </c>
      <c r="Q50">
        <v>4</v>
      </c>
      <c r="R50">
        <v>4</v>
      </c>
      <c r="S50">
        <v>3</v>
      </c>
      <c r="T50" s="1" t="s">
        <v>311</v>
      </c>
      <c r="U50" s="1" t="s">
        <v>312</v>
      </c>
      <c r="V50">
        <f t="shared" si="0"/>
        <v>3610.9821000000543</v>
      </c>
      <c r="W50">
        <f t="shared" si="1"/>
        <v>1995</v>
      </c>
      <c r="X50">
        <f t="shared" si="2"/>
        <v>235</v>
      </c>
    </row>
    <row r="51" spans="1:24" x14ac:dyDescent="0.5">
      <c r="A51" t="s">
        <v>313</v>
      </c>
      <c r="B51">
        <v>1</v>
      </c>
      <c r="C51">
        <v>1</v>
      </c>
      <c r="D51" t="b">
        <v>1</v>
      </c>
      <c r="E51">
        <v>65.310470779220793</v>
      </c>
      <c r="F51">
        <v>50</v>
      </c>
      <c r="G51">
        <v>1</v>
      </c>
      <c r="H51">
        <v>444</v>
      </c>
      <c r="I51">
        <v>25</v>
      </c>
      <c r="J51" s="1" t="s">
        <v>314</v>
      </c>
      <c r="K51">
        <v>960</v>
      </c>
      <c r="L51">
        <v>121</v>
      </c>
      <c r="M51" s="1" t="s">
        <v>315</v>
      </c>
      <c r="N51">
        <v>599</v>
      </c>
      <c r="O51">
        <v>57</v>
      </c>
      <c r="P51" s="1" t="s">
        <v>316</v>
      </c>
      <c r="Q51">
        <v>5</v>
      </c>
      <c r="R51">
        <v>4</v>
      </c>
      <c r="S51">
        <v>5</v>
      </c>
      <c r="T51" s="1" t="s">
        <v>317</v>
      </c>
      <c r="U51" s="1" t="s">
        <v>318</v>
      </c>
      <c r="V51">
        <f t="shared" si="0"/>
        <v>3997.1518999999926</v>
      </c>
      <c r="W51">
        <f t="shared" si="1"/>
        <v>2003</v>
      </c>
      <c r="X51">
        <f t="shared" si="2"/>
        <v>203</v>
      </c>
    </row>
    <row r="52" spans="1:24" x14ac:dyDescent="0.5">
      <c r="A52" t="s">
        <v>319</v>
      </c>
      <c r="B52">
        <v>1</v>
      </c>
      <c r="C52">
        <v>0</v>
      </c>
      <c r="D52" t="b">
        <v>1</v>
      </c>
      <c r="E52" s="1" t="s">
        <v>320</v>
      </c>
      <c r="F52">
        <v>0</v>
      </c>
      <c r="G52">
        <v>1</v>
      </c>
      <c r="H52">
        <v>444</v>
      </c>
      <c r="I52">
        <v>25</v>
      </c>
      <c r="J52" s="1" t="s">
        <v>321</v>
      </c>
      <c r="K52">
        <v>960</v>
      </c>
      <c r="L52">
        <v>133</v>
      </c>
      <c r="M52" s="1" t="s">
        <v>322</v>
      </c>
      <c r="N52">
        <v>592</v>
      </c>
      <c r="O52">
        <v>57</v>
      </c>
      <c r="P52">
        <v>707.53150000001597</v>
      </c>
      <c r="Q52">
        <v>5</v>
      </c>
      <c r="R52">
        <v>4</v>
      </c>
      <c r="S52">
        <v>4</v>
      </c>
      <c r="T52" s="1" t="s">
        <v>323</v>
      </c>
      <c r="U52" s="1" t="s">
        <v>324</v>
      </c>
      <c r="V52">
        <f t="shared" si="0"/>
        <v>3741.5976999999948</v>
      </c>
      <c r="W52">
        <f t="shared" si="1"/>
        <v>1996</v>
      </c>
      <c r="X52">
        <f t="shared" si="2"/>
        <v>215</v>
      </c>
    </row>
    <row r="53" spans="1:24" x14ac:dyDescent="0.5">
      <c r="A53" t="s">
        <v>325</v>
      </c>
      <c r="B53">
        <v>1</v>
      </c>
      <c r="C53">
        <v>1</v>
      </c>
      <c r="D53" t="b">
        <v>1</v>
      </c>
      <c r="E53" s="1" t="s">
        <v>326</v>
      </c>
      <c r="F53">
        <v>80</v>
      </c>
      <c r="G53">
        <v>1</v>
      </c>
      <c r="H53">
        <v>444</v>
      </c>
      <c r="I53">
        <v>25</v>
      </c>
      <c r="J53" s="1" t="s">
        <v>327</v>
      </c>
      <c r="K53">
        <v>960</v>
      </c>
      <c r="L53">
        <v>148</v>
      </c>
      <c r="M53" s="1" t="s">
        <v>328</v>
      </c>
      <c r="N53">
        <v>602</v>
      </c>
      <c r="O53">
        <v>57</v>
      </c>
      <c r="P53" s="1" t="s">
        <v>329</v>
      </c>
      <c r="Q53">
        <v>4</v>
      </c>
      <c r="R53">
        <v>5</v>
      </c>
      <c r="S53">
        <v>4</v>
      </c>
      <c r="T53" s="1" t="s">
        <v>330</v>
      </c>
      <c r="U53" s="1" t="s">
        <v>331</v>
      </c>
      <c r="V53">
        <f t="shared" si="0"/>
        <v>3267.1229999999869</v>
      </c>
      <c r="W53">
        <f t="shared" si="1"/>
        <v>2006</v>
      </c>
      <c r="X53">
        <f t="shared" si="2"/>
        <v>230</v>
      </c>
    </row>
    <row r="54" spans="1:24" x14ac:dyDescent="0.5">
      <c r="A54" t="s">
        <v>332</v>
      </c>
      <c r="B54">
        <v>1</v>
      </c>
      <c r="C54">
        <v>1</v>
      </c>
      <c r="D54" t="b">
        <v>1</v>
      </c>
      <c r="E54">
        <v>100</v>
      </c>
      <c r="F54">
        <v>50</v>
      </c>
      <c r="G54">
        <v>1</v>
      </c>
      <c r="H54">
        <v>444</v>
      </c>
      <c r="I54">
        <v>25</v>
      </c>
      <c r="J54" s="1" t="s">
        <v>333</v>
      </c>
      <c r="K54">
        <v>960</v>
      </c>
      <c r="L54">
        <v>101</v>
      </c>
      <c r="M54" s="1" t="s">
        <v>334</v>
      </c>
      <c r="N54">
        <v>589</v>
      </c>
      <c r="O54">
        <v>57</v>
      </c>
      <c r="P54" s="1" t="s">
        <v>335</v>
      </c>
      <c r="Q54">
        <v>5</v>
      </c>
      <c r="R54">
        <v>5</v>
      </c>
      <c r="S54">
        <v>5</v>
      </c>
      <c r="T54">
        <v>95</v>
      </c>
      <c r="U54">
        <v>97.5</v>
      </c>
      <c r="V54">
        <f t="shared" si="0"/>
        <v>3874.886799999972</v>
      </c>
      <c r="W54">
        <f t="shared" si="1"/>
        <v>1993</v>
      </c>
      <c r="X54">
        <f t="shared" si="2"/>
        <v>183</v>
      </c>
    </row>
    <row r="55" spans="1:24" x14ac:dyDescent="0.5">
      <c r="A55" t="s">
        <v>336</v>
      </c>
      <c r="B55">
        <v>1</v>
      </c>
      <c r="C55">
        <v>1</v>
      </c>
      <c r="D55" t="b">
        <v>1</v>
      </c>
      <c r="E55">
        <v>100</v>
      </c>
      <c r="F55">
        <v>0</v>
      </c>
      <c r="G55">
        <v>0</v>
      </c>
      <c r="H55">
        <v>444</v>
      </c>
      <c r="I55">
        <v>25</v>
      </c>
      <c r="J55" s="1" t="s">
        <v>337</v>
      </c>
      <c r="K55">
        <v>960</v>
      </c>
      <c r="L55">
        <v>114</v>
      </c>
      <c r="M55" s="1" t="s">
        <v>338</v>
      </c>
      <c r="N55">
        <v>595</v>
      </c>
      <c r="O55">
        <v>57</v>
      </c>
      <c r="P55" s="1" t="s">
        <v>339</v>
      </c>
      <c r="Q55">
        <v>3</v>
      </c>
      <c r="R55">
        <v>5</v>
      </c>
      <c r="S55">
        <v>4</v>
      </c>
      <c r="T55">
        <v>34</v>
      </c>
      <c r="U55">
        <v>67</v>
      </c>
      <c r="V55">
        <f t="shared" si="0"/>
        <v>3433.964300000006</v>
      </c>
      <c r="W55">
        <f t="shared" si="1"/>
        <v>1999</v>
      </c>
      <c r="X55">
        <f t="shared" si="2"/>
        <v>196</v>
      </c>
    </row>
    <row r="56" spans="1:24" x14ac:dyDescent="0.5">
      <c r="A56" t="s">
        <v>340</v>
      </c>
      <c r="B56">
        <v>1</v>
      </c>
      <c r="C56">
        <v>1</v>
      </c>
      <c r="D56" t="b">
        <v>1</v>
      </c>
      <c r="E56">
        <v>100</v>
      </c>
      <c r="F56">
        <v>0</v>
      </c>
      <c r="G56">
        <v>0</v>
      </c>
      <c r="H56">
        <v>444</v>
      </c>
      <c r="I56">
        <v>25</v>
      </c>
      <c r="J56" s="1" t="s">
        <v>341</v>
      </c>
      <c r="K56">
        <v>960</v>
      </c>
      <c r="L56">
        <v>124</v>
      </c>
      <c r="M56" s="1" t="s">
        <v>342</v>
      </c>
      <c r="N56">
        <v>607</v>
      </c>
      <c r="O56">
        <v>57</v>
      </c>
      <c r="P56" s="1" t="s">
        <v>343</v>
      </c>
      <c r="Q56">
        <v>4</v>
      </c>
      <c r="R56">
        <v>4</v>
      </c>
      <c r="S56">
        <v>4</v>
      </c>
      <c r="T56">
        <v>34</v>
      </c>
      <c r="U56">
        <v>67</v>
      </c>
      <c r="V56">
        <f t="shared" si="0"/>
        <v>4009.293199999966</v>
      </c>
      <c r="W56">
        <f t="shared" si="1"/>
        <v>2011</v>
      </c>
      <c r="X56">
        <f t="shared" si="2"/>
        <v>206</v>
      </c>
    </row>
    <row r="57" spans="1:24" x14ac:dyDescent="0.5">
      <c r="A57" t="s">
        <v>344</v>
      </c>
      <c r="B57">
        <v>1</v>
      </c>
      <c r="C57">
        <v>1</v>
      </c>
      <c r="D57" t="b">
        <v>1</v>
      </c>
      <c r="E57" s="1" t="s">
        <v>345</v>
      </c>
      <c r="F57">
        <v>0</v>
      </c>
      <c r="G57">
        <v>0</v>
      </c>
      <c r="H57">
        <v>444</v>
      </c>
      <c r="I57">
        <v>25</v>
      </c>
      <c r="J57" s="1" t="s">
        <v>346</v>
      </c>
      <c r="K57">
        <v>960</v>
      </c>
      <c r="L57">
        <v>126</v>
      </c>
      <c r="M57" s="1" t="s">
        <v>347</v>
      </c>
      <c r="N57">
        <v>596</v>
      </c>
      <c r="O57">
        <v>57</v>
      </c>
      <c r="P57" s="1" t="s">
        <v>348</v>
      </c>
      <c r="Q57">
        <v>2</v>
      </c>
      <c r="R57">
        <v>5</v>
      </c>
      <c r="S57">
        <v>4</v>
      </c>
      <c r="T57" s="1" t="s">
        <v>349</v>
      </c>
      <c r="U57" s="1" t="s">
        <v>350</v>
      </c>
      <c r="V57">
        <f t="shared" si="0"/>
        <v>3653.0882999999981</v>
      </c>
      <c r="W57">
        <f t="shared" si="1"/>
        <v>2000</v>
      </c>
      <c r="X57">
        <f t="shared" si="2"/>
        <v>208</v>
      </c>
    </row>
    <row r="58" spans="1:24" x14ac:dyDescent="0.5">
      <c r="A58" t="s">
        <v>351</v>
      </c>
      <c r="B58">
        <v>1</v>
      </c>
      <c r="C58">
        <v>1</v>
      </c>
      <c r="D58" t="b">
        <v>1</v>
      </c>
      <c r="E58" s="1" t="s">
        <v>352</v>
      </c>
      <c r="F58">
        <v>50</v>
      </c>
      <c r="G58">
        <v>1</v>
      </c>
      <c r="H58">
        <v>444</v>
      </c>
      <c r="I58">
        <v>25</v>
      </c>
      <c r="J58" s="1" t="s">
        <v>353</v>
      </c>
      <c r="K58">
        <v>960</v>
      </c>
      <c r="L58">
        <v>171</v>
      </c>
      <c r="M58" s="1" t="s">
        <v>354</v>
      </c>
      <c r="N58">
        <v>598</v>
      </c>
      <c r="O58">
        <v>57</v>
      </c>
      <c r="P58" s="1" t="s">
        <v>355</v>
      </c>
      <c r="Q58">
        <v>4</v>
      </c>
      <c r="R58">
        <v>4</v>
      </c>
      <c r="S58">
        <v>5</v>
      </c>
      <c r="T58" s="1" t="s">
        <v>356</v>
      </c>
      <c r="U58" s="1" t="s">
        <v>357</v>
      </c>
      <c r="V58">
        <f t="shared" si="0"/>
        <v>3708.3656999999994</v>
      </c>
      <c r="W58">
        <f t="shared" si="1"/>
        <v>2002</v>
      </c>
      <c r="X58">
        <f t="shared" si="2"/>
        <v>253</v>
      </c>
    </row>
    <row r="59" spans="1:24" x14ac:dyDescent="0.5">
      <c r="A59" t="s">
        <v>358</v>
      </c>
      <c r="B59">
        <v>1</v>
      </c>
      <c r="C59">
        <v>1</v>
      </c>
      <c r="D59" t="b">
        <v>1</v>
      </c>
      <c r="E59">
        <v>95.6597222222222</v>
      </c>
      <c r="F59">
        <v>0</v>
      </c>
      <c r="G59">
        <v>1</v>
      </c>
      <c r="H59">
        <v>444</v>
      </c>
      <c r="I59">
        <v>25</v>
      </c>
      <c r="J59" s="1" t="s">
        <v>359</v>
      </c>
      <c r="K59">
        <v>960</v>
      </c>
      <c r="L59">
        <v>120</v>
      </c>
      <c r="M59" s="1" t="s">
        <v>360</v>
      </c>
      <c r="N59">
        <v>594</v>
      </c>
      <c r="O59">
        <v>57</v>
      </c>
      <c r="P59" s="1" t="s">
        <v>361</v>
      </c>
      <c r="Q59">
        <v>4</v>
      </c>
      <c r="R59">
        <v>4</v>
      </c>
      <c r="S59">
        <v>5</v>
      </c>
      <c r="T59" s="1" t="s">
        <v>362</v>
      </c>
      <c r="U59" s="1" t="s">
        <v>363</v>
      </c>
      <c r="V59">
        <f t="shared" si="0"/>
        <v>3483.3408999999929</v>
      </c>
      <c r="W59">
        <f t="shared" si="1"/>
        <v>1998</v>
      </c>
      <c r="X59">
        <f t="shared" si="2"/>
        <v>202</v>
      </c>
    </row>
    <row r="60" spans="1:24" x14ac:dyDescent="0.5">
      <c r="A60" t="s">
        <v>364</v>
      </c>
      <c r="B60">
        <v>1</v>
      </c>
      <c r="C60">
        <v>1</v>
      </c>
      <c r="D60" t="b">
        <v>1</v>
      </c>
      <c r="E60" s="1" t="s">
        <v>365</v>
      </c>
      <c r="F60">
        <v>40</v>
      </c>
      <c r="G60">
        <v>1</v>
      </c>
      <c r="H60">
        <v>444</v>
      </c>
      <c r="I60">
        <v>25</v>
      </c>
      <c r="J60">
        <v>988.84119999999598</v>
      </c>
      <c r="K60">
        <v>960</v>
      </c>
      <c r="L60">
        <v>137</v>
      </c>
      <c r="M60">
        <v>2208.8103000000101</v>
      </c>
      <c r="N60">
        <v>593</v>
      </c>
      <c r="O60">
        <v>57</v>
      </c>
      <c r="P60" s="1" t="s">
        <v>366</v>
      </c>
      <c r="Q60">
        <v>3</v>
      </c>
      <c r="R60">
        <v>5</v>
      </c>
      <c r="S60">
        <v>4</v>
      </c>
      <c r="T60" s="1" t="s">
        <v>367</v>
      </c>
      <c r="U60" s="1" t="s">
        <v>368</v>
      </c>
      <c r="V60">
        <f t="shared" si="0"/>
        <v>3864.0227999999861</v>
      </c>
      <c r="W60">
        <f t="shared" si="1"/>
        <v>1997</v>
      </c>
      <c r="X60">
        <f t="shared" si="2"/>
        <v>219</v>
      </c>
    </row>
    <row r="61" spans="1:24" x14ac:dyDescent="0.5">
      <c r="A61" t="s">
        <v>369</v>
      </c>
      <c r="B61">
        <v>1</v>
      </c>
      <c r="C61">
        <v>1</v>
      </c>
      <c r="D61" t="b">
        <v>1</v>
      </c>
      <c r="E61" s="1" t="s">
        <v>370</v>
      </c>
      <c r="F61" s="1" t="s">
        <v>371</v>
      </c>
      <c r="G61">
        <v>0</v>
      </c>
      <c r="H61">
        <v>444</v>
      </c>
      <c r="I61">
        <v>25</v>
      </c>
      <c r="J61" s="1" t="s">
        <v>372</v>
      </c>
      <c r="K61">
        <v>960</v>
      </c>
      <c r="L61">
        <v>163</v>
      </c>
      <c r="M61" s="1" t="s">
        <v>373</v>
      </c>
      <c r="N61">
        <v>598</v>
      </c>
      <c r="O61">
        <v>57</v>
      </c>
      <c r="P61" s="1" t="s">
        <v>374</v>
      </c>
      <c r="Q61">
        <v>3</v>
      </c>
      <c r="R61">
        <v>4</v>
      </c>
      <c r="S61">
        <v>4</v>
      </c>
      <c r="T61" s="1" t="s">
        <v>375</v>
      </c>
      <c r="U61" s="1" t="s">
        <v>376</v>
      </c>
      <c r="V61">
        <f t="shared" si="0"/>
        <v>3572.7401000000273</v>
      </c>
      <c r="W61">
        <f t="shared" si="1"/>
        <v>2002</v>
      </c>
      <c r="X61">
        <f t="shared" si="2"/>
        <v>245</v>
      </c>
    </row>
    <row r="62" spans="1:24" x14ac:dyDescent="0.5">
      <c r="A62" t="s">
        <v>377</v>
      </c>
      <c r="B62">
        <v>1</v>
      </c>
      <c r="C62">
        <v>1</v>
      </c>
      <c r="D62" t="b">
        <v>1</v>
      </c>
      <c r="E62" s="1" t="s">
        <v>378</v>
      </c>
      <c r="F62">
        <v>25</v>
      </c>
      <c r="G62">
        <v>1</v>
      </c>
      <c r="H62">
        <v>444</v>
      </c>
      <c r="I62">
        <v>25</v>
      </c>
      <c r="J62" s="1" t="s">
        <v>379</v>
      </c>
      <c r="K62">
        <v>960</v>
      </c>
      <c r="L62">
        <v>127</v>
      </c>
      <c r="M62" s="1" t="s">
        <v>380</v>
      </c>
      <c r="N62">
        <v>589</v>
      </c>
      <c r="O62">
        <v>57</v>
      </c>
      <c r="P62">
        <v>739.02169999999501</v>
      </c>
      <c r="Q62">
        <v>5</v>
      </c>
      <c r="R62">
        <v>3</v>
      </c>
      <c r="S62">
        <v>4</v>
      </c>
      <c r="T62" s="1" t="s">
        <v>381</v>
      </c>
      <c r="U62" s="1" t="s">
        <v>382</v>
      </c>
      <c r="V62">
        <f t="shared" si="0"/>
        <v>3107.9229999999698</v>
      </c>
      <c r="W62">
        <f t="shared" si="1"/>
        <v>1993</v>
      </c>
      <c r="X62">
        <f t="shared" si="2"/>
        <v>209</v>
      </c>
    </row>
    <row r="63" spans="1:24" x14ac:dyDescent="0.5">
      <c r="A63" t="s">
        <v>383</v>
      </c>
      <c r="B63">
        <v>1</v>
      </c>
      <c r="C63">
        <v>1</v>
      </c>
      <c r="D63" t="b">
        <v>1</v>
      </c>
      <c r="E63" s="1" t="s">
        <v>378</v>
      </c>
      <c r="F63">
        <v>50</v>
      </c>
      <c r="G63">
        <v>1</v>
      </c>
      <c r="H63">
        <v>444</v>
      </c>
      <c r="I63">
        <v>25</v>
      </c>
      <c r="J63" s="1" t="s">
        <v>384</v>
      </c>
      <c r="K63">
        <v>960</v>
      </c>
      <c r="L63">
        <v>121</v>
      </c>
      <c r="M63" s="1" t="s">
        <v>385</v>
      </c>
      <c r="N63">
        <v>587</v>
      </c>
      <c r="O63">
        <v>57</v>
      </c>
      <c r="P63" s="1" t="s">
        <v>386</v>
      </c>
      <c r="Q63">
        <v>3</v>
      </c>
      <c r="R63">
        <v>4</v>
      </c>
      <c r="S63">
        <v>4</v>
      </c>
      <c r="T63" s="1" t="s">
        <v>387</v>
      </c>
      <c r="U63" s="1" t="s">
        <v>388</v>
      </c>
      <c r="V63">
        <f t="shared" si="0"/>
        <v>4284.5615999999754</v>
      </c>
      <c r="W63">
        <f t="shared" si="1"/>
        <v>1991</v>
      </c>
      <c r="X63">
        <f t="shared" si="2"/>
        <v>203</v>
      </c>
    </row>
    <row r="64" spans="1:24" x14ac:dyDescent="0.5">
      <c r="A64" t="s">
        <v>389</v>
      </c>
      <c r="B64">
        <v>1</v>
      </c>
      <c r="C64">
        <v>1</v>
      </c>
      <c r="D64" t="b">
        <v>1</v>
      </c>
      <c r="E64" s="1" t="s">
        <v>390</v>
      </c>
      <c r="F64">
        <v>0</v>
      </c>
      <c r="G64">
        <v>0</v>
      </c>
      <c r="H64">
        <v>444</v>
      </c>
      <c r="I64">
        <v>25</v>
      </c>
      <c r="J64" s="1" t="s">
        <v>391</v>
      </c>
      <c r="K64">
        <v>960</v>
      </c>
      <c r="L64">
        <v>230</v>
      </c>
      <c r="M64" s="1" t="s">
        <v>392</v>
      </c>
      <c r="N64">
        <v>611</v>
      </c>
      <c r="O64">
        <v>57</v>
      </c>
      <c r="P64" s="1" t="s">
        <v>393</v>
      </c>
      <c r="Q64">
        <v>3</v>
      </c>
      <c r="R64">
        <v>2</v>
      </c>
      <c r="S64">
        <v>3</v>
      </c>
      <c r="T64" s="1" t="s">
        <v>394</v>
      </c>
      <c r="U64" s="1" t="s">
        <v>395</v>
      </c>
      <c r="V64">
        <f t="shared" si="0"/>
        <v>3942.1754999999853</v>
      </c>
      <c r="W64">
        <f t="shared" si="1"/>
        <v>2015</v>
      </c>
      <c r="X64">
        <f t="shared" si="2"/>
        <v>312</v>
      </c>
    </row>
    <row r="65" spans="1:24" x14ac:dyDescent="0.5">
      <c r="A65" t="s">
        <v>396</v>
      </c>
      <c r="B65">
        <v>1</v>
      </c>
      <c r="C65">
        <v>0</v>
      </c>
      <c r="D65" t="b">
        <v>1</v>
      </c>
      <c r="E65" s="1" t="s">
        <v>397</v>
      </c>
      <c r="F65">
        <v>100</v>
      </c>
      <c r="G65">
        <v>1</v>
      </c>
      <c r="H65">
        <v>444</v>
      </c>
      <c r="I65">
        <v>25</v>
      </c>
      <c r="J65" s="1" t="s">
        <v>398</v>
      </c>
      <c r="K65">
        <v>960</v>
      </c>
      <c r="L65">
        <v>127</v>
      </c>
      <c r="M65" s="1" t="s">
        <v>399</v>
      </c>
      <c r="N65">
        <v>609</v>
      </c>
      <c r="O65">
        <v>57</v>
      </c>
      <c r="P65" s="1" t="s">
        <v>400</v>
      </c>
      <c r="Q65">
        <v>4</v>
      </c>
      <c r="R65">
        <v>5</v>
      </c>
      <c r="S65">
        <v>3</v>
      </c>
      <c r="T65" s="1" t="s">
        <v>401</v>
      </c>
      <c r="U65" s="1" t="s">
        <v>402</v>
      </c>
      <c r="V65">
        <f t="shared" si="0"/>
        <v>3343.8011000000315</v>
      </c>
      <c r="W65">
        <f t="shared" si="1"/>
        <v>2013</v>
      </c>
      <c r="X65">
        <f t="shared" si="2"/>
        <v>209</v>
      </c>
    </row>
    <row r="66" spans="1:24" x14ac:dyDescent="0.5">
      <c r="A66" t="s">
        <v>403</v>
      </c>
      <c r="B66">
        <v>1</v>
      </c>
      <c r="C66">
        <v>1</v>
      </c>
      <c r="D66" t="b">
        <v>1</v>
      </c>
      <c r="E66" s="1" t="s">
        <v>404</v>
      </c>
      <c r="F66">
        <v>40</v>
      </c>
      <c r="G66">
        <v>1</v>
      </c>
      <c r="H66">
        <v>444</v>
      </c>
      <c r="I66">
        <v>25</v>
      </c>
      <c r="J66" s="1" t="s">
        <v>405</v>
      </c>
      <c r="K66">
        <v>960</v>
      </c>
      <c r="L66">
        <v>135</v>
      </c>
      <c r="M66" s="1" t="s">
        <v>406</v>
      </c>
      <c r="N66">
        <v>585</v>
      </c>
      <c r="O66">
        <v>57</v>
      </c>
      <c r="P66" s="1" t="s">
        <v>407</v>
      </c>
      <c r="Q66">
        <v>4</v>
      </c>
      <c r="R66">
        <v>4</v>
      </c>
      <c r="S66">
        <v>5</v>
      </c>
      <c r="T66" s="1" t="s">
        <v>408</v>
      </c>
      <c r="U66" s="1" t="s">
        <v>409</v>
      </c>
      <c r="V66">
        <f t="shared" si="0"/>
        <v>3141.5994000000078</v>
      </c>
      <c r="W66">
        <f t="shared" si="1"/>
        <v>1989</v>
      </c>
      <c r="X66">
        <f t="shared" si="2"/>
        <v>217</v>
      </c>
    </row>
    <row r="67" spans="1:24" x14ac:dyDescent="0.5">
      <c r="A67" t="s">
        <v>410</v>
      </c>
      <c r="B67">
        <v>1</v>
      </c>
      <c r="C67">
        <v>1</v>
      </c>
      <c r="D67" t="b">
        <v>1</v>
      </c>
      <c r="E67" s="1" t="s">
        <v>411</v>
      </c>
      <c r="F67" s="1" t="s">
        <v>108</v>
      </c>
      <c r="G67">
        <v>1</v>
      </c>
      <c r="H67">
        <v>444</v>
      </c>
      <c r="I67">
        <v>25</v>
      </c>
      <c r="J67" s="1" t="s">
        <v>412</v>
      </c>
      <c r="K67">
        <v>960</v>
      </c>
      <c r="L67">
        <v>155</v>
      </c>
      <c r="M67" s="1" t="s">
        <v>413</v>
      </c>
      <c r="N67">
        <v>599</v>
      </c>
      <c r="O67">
        <v>57</v>
      </c>
      <c r="P67" s="1" t="s">
        <v>414</v>
      </c>
      <c r="Q67">
        <v>4</v>
      </c>
      <c r="R67">
        <v>5</v>
      </c>
      <c r="S67">
        <v>5</v>
      </c>
      <c r="T67" s="1" t="s">
        <v>415</v>
      </c>
      <c r="U67" s="1" t="s">
        <v>416</v>
      </c>
      <c r="V67">
        <f t="shared" ref="V67:V73" si="3">J67+M67+P67</f>
        <v>3188.2505000000338</v>
      </c>
      <c r="W67">
        <f t="shared" ref="W67:W73" si="4">H67+K67+N67</f>
        <v>2003</v>
      </c>
      <c r="X67">
        <f t="shared" ref="X67:X73" si="5">I67+L67+O67</f>
        <v>237</v>
      </c>
    </row>
    <row r="68" spans="1:24" x14ac:dyDescent="0.5">
      <c r="A68" t="s">
        <v>417</v>
      </c>
      <c r="B68">
        <v>1</v>
      </c>
      <c r="C68">
        <v>1</v>
      </c>
      <c r="D68" t="b">
        <v>1</v>
      </c>
      <c r="E68" s="1" t="s">
        <v>418</v>
      </c>
      <c r="F68">
        <v>60</v>
      </c>
      <c r="G68">
        <v>0</v>
      </c>
      <c r="H68">
        <v>444</v>
      </c>
      <c r="I68">
        <v>25</v>
      </c>
      <c r="J68" s="1" t="s">
        <v>419</v>
      </c>
      <c r="K68">
        <v>960</v>
      </c>
      <c r="L68">
        <v>157</v>
      </c>
      <c r="M68">
        <v>1924.5789</v>
      </c>
      <c r="N68">
        <v>591</v>
      </c>
      <c r="O68">
        <v>57</v>
      </c>
      <c r="P68" s="1" t="s">
        <v>420</v>
      </c>
      <c r="Q68">
        <v>2</v>
      </c>
      <c r="R68">
        <v>4</v>
      </c>
      <c r="S68">
        <v>4</v>
      </c>
      <c r="T68" s="1" t="s">
        <v>421</v>
      </c>
      <c r="U68" s="1" t="s">
        <v>422</v>
      </c>
      <c r="V68">
        <f t="shared" si="3"/>
        <v>3737.0040999999969</v>
      </c>
      <c r="W68">
        <f t="shared" si="4"/>
        <v>1995</v>
      </c>
      <c r="X68">
        <f t="shared" si="5"/>
        <v>239</v>
      </c>
    </row>
    <row r="69" spans="1:24" x14ac:dyDescent="0.5">
      <c r="A69" t="s">
        <v>423</v>
      </c>
      <c r="B69">
        <v>1</v>
      </c>
      <c r="C69">
        <v>1</v>
      </c>
      <c r="D69" t="b">
        <v>1</v>
      </c>
      <c r="E69" s="1" t="s">
        <v>424</v>
      </c>
      <c r="F69">
        <v>0</v>
      </c>
      <c r="G69">
        <v>0</v>
      </c>
      <c r="H69">
        <v>444</v>
      </c>
      <c r="I69">
        <v>25</v>
      </c>
      <c r="J69" s="1" t="s">
        <v>425</v>
      </c>
      <c r="K69">
        <v>960</v>
      </c>
      <c r="L69">
        <v>120</v>
      </c>
      <c r="M69" s="1" t="s">
        <v>426</v>
      </c>
      <c r="N69">
        <v>595</v>
      </c>
      <c r="O69">
        <v>57</v>
      </c>
      <c r="P69">
        <v>696.48380000000998</v>
      </c>
      <c r="Q69">
        <v>2</v>
      </c>
      <c r="R69">
        <v>5</v>
      </c>
      <c r="S69">
        <v>4</v>
      </c>
      <c r="T69" s="1" t="s">
        <v>427</v>
      </c>
      <c r="U69" s="1" t="s">
        <v>428</v>
      </c>
      <c r="V69">
        <f t="shared" si="3"/>
        <v>3259.57169999998</v>
      </c>
      <c r="W69">
        <f t="shared" si="4"/>
        <v>1999</v>
      </c>
      <c r="X69">
        <f t="shared" si="5"/>
        <v>202</v>
      </c>
    </row>
    <row r="70" spans="1:24" x14ac:dyDescent="0.5">
      <c r="A70" t="s">
        <v>429</v>
      </c>
      <c r="B70">
        <v>1</v>
      </c>
      <c r="C70">
        <v>1</v>
      </c>
      <c r="D70" t="b">
        <v>1</v>
      </c>
      <c r="E70" s="1" t="s">
        <v>430</v>
      </c>
      <c r="F70" s="1" t="s">
        <v>34</v>
      </c>
      <c r="G70">
        <v>0</v>
      </c>
      <c r="H70">
        <v>444</v>
      </c>
      <c r="I70">
        <v>25</v>
      </c>
      <c r="J70" s="1" t="s">
        <v>431</v>
      </c>
      <c r="K70">
        <v>960</v>
      </c>
      <c r="L70">
        <v>175</v>
      </c>
      <c r="M70" s="1" t="s">
        <v>432</v>
      </c>
      <c r="N70">
        <v>597</v>
      </c>
      <c r="O70">
        <v>57</v>
      </c>
      <c r="P70" s="1" t="s">
        <v>433</v>
      </c>
      <c r="Q70">
        <v>2</v>
      </c>
      <c r="R70">
        <v>4</v>
      </c>
      <c r="S70">
        <v>3</v>
      </c>
      <c r="T70" s="1" t="s">
        <v>434</v>
      </c>
      <c r="U70" s="1" t="s">
        <v>435</v>
      </c>
      <c r="V70">
        <f t="shared" si="3"/>
        <v>3411.5567999999621</v>
      </c>
      <c r="W70">
        <f t="shared" si="4"/>
        <v>2001</v>
      </c>
      <c r="X70">
        <f t="shared" si="5"/>
        <v>257</v>
      </c>
    </row>
    <row r="71" spans="1:24" x14ac:dyDescent="0.5">
      <c r="A71" t="s">
        <v>436</v>
      </c>
      <c r="B71">
        <v>1</v>
      </c>
      <c r="C71">
        <v>1</v>
      </c>
      <c r="D71" t="b">
        <v>1</v>
      </c>
      <c r="E71" s="1" t="s">
        <v>437</v>
      </c>
      <c r="F71">
        <v>25</v>
      </c>
      <c r="G71">
        <v>1</v>
      </c>
      <c r="H71">
        <v>444</v>
      </c>
      <c r="I71">
        <v>25</v>
      </c>
      <c r="J71" s="1" t="s">
        <v>438</v>
      </c>
      <c r="K71">
        <v>960</v>
      </c>
      <c r="L71">
        <v>122</v>
      </c>
      <c r="M71" s="1" t="s">
        <v>439</v>
      </c>
      <c r="N71">
        <v>585</v>
      </c>
      <c r="O71">
        <v>57</v>
      </c>
      <c r="P71" s="1" t="s">
        <v>440</v>
      </c>
      <c r="Q71">
        <v>5</v>
      </c>
      <c r="R71">
        <v>5</v>
      </c>
      <c r="S71">
        <v>4</v>
      </c>
      <c r="T71" s="1" t="s">
        <v>441</v>
      </c>
      <c r="U71" s="1" t="s">
        <v>442</v>
      </c>
      <c r="V71">
        <f t="shared" si="3"/>
        <v>2970.6085000000207</v>
      </c>
      <c r="W71">
        <f t="shared" si="4"/>
        <v>1989</v>
      </c>
      <c r="X71">
        <f t="shared" si="5"/>
        <v>204</v>
      </c>
    </row>
    <row r="72" spans="1:24" x14ac:dyDescent="0.5">
      <c r="A72" t="s">
        <v>443</v>
      </c>
      <c r="B72">
        <v>1</v>
      </c>
      <c r="C72">
        <v>1</v>
      </c>
      <c r="D72" t="b">
        <v>1</v>
      </c>
      <c r="E72" s="1" t="s">
        <v>444</v>
      </c>
      <c r="F72">
        <v>50</v>
      </c>
      <c r="G72">
        <v>1</v>
      </c>
      <c r="H72">
        <v>444</v>
      </c>
      <c r="I72">
        <v>25</v>
      </c>
      <c r="J72" s="1" t="s">
        <v>445</v>
      </c>
      <c r="K72">
        <v>960</v>
      </c>
      <c r="L72">
        <v>127</v>
      </c>
      <c r="M72" s="1" t="s">
        <v>446</v>
      </c>
      <c r="N72">
        <v>592</v>
      </c>
      <c r="O72">
        <v>57</v>
      </c>
      <c r="P72" s="1" t="s">
        <v>447</v>
      </c>
      <c r="Q72">
        <v>5</v>
      </c>
      <c r="R72">
        <v>4</v>
      </c>
      <c r="S72">
        <v>5</v>
      </c>
      <c r="T72" s="1" t="s">
        <v>448</v>
      </c>
      <c r="U72" s="1" t="s">
        <v>449</v>
      </c>
      <c r="V72">
        <f t="shared" si="3"/>
        <v>2986.5646000000643</v>
      </c>
      <c r="W72">
        <f t="shared" si="4"/>
        <v>1996</v>
      </c>
      <c r="X72">
        <f t="shared" si="5"/>
        <v>209</v>
      </c>
    </row>
    <row r="73" spans="1:24" x14ac:dyDescent="0.5">
      <c r="A73" t="s">
        <v>450</v>
      </c>
      <c r="B73">
        <v>1</v>
      </c>
      <c r="C73">
        <v>1</v>
      </c>
      <c r="D73" t="b">
        <v>1</v>
      </c>
      <c r="E73" s="1" t="s">
        <v>451</v>
      </c>
      <c r="F73">
        <v>0</v>
      </c>
      <c r="G73">
        <v>1</v>
      </c>
      <c r="H73">
        <v>444</v>
      </c>
      <c r="I73">
        <v>25</v>
      </c>
      <c r="J73">
        <v>933.11139999997295</v>
      </c>
      <c r="K73">
        <v>960</v>
      </c>
      <c r="L73">
        <v>129</v>
      </c>
      <c r="M73" s="1" t="s">
        <v>452</v>
      </c>
      <c r="N73">
        <v>596</v>
      </c>
      <c r="O73">
        <v>57</v>
      </c>
      <c r="P73" s="1" t="s">
        <v>453</v>
      </c>
      <c r="Q73">
        <v>4</v>
      </c>
      <c r="R73">
        <v>3</v>
      </c>
      <c r="S73">
        <v>3</v>
      </c>
      <c r="T73" s="1" t="s">
        <v>454</v>
      </c>
      <c r="U73" s="1" t="s">
        <v>455</v>
      </c>
      <c r="V73">
        <f t="shared" si="3"/>
        <v>3854.6210000000078</v>
      </c>
      <c r="W73">
        <f t="shared" si="4"/>
        <v>2000</v>
      </c>
      <c r="X73">
        <f t="shared" si="5"/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final_master_report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Basera</dc:creator>
  <cp:lastModifiedBy>Sahil Basera</cp:lastModifiedBy>
  <dcterms:created xsi:type="dcterms:W3CDTF">2026-03-14T03:17:26Z</dcterms:created>
  <dcterms:modified xsi:type="dcterms:W3CDTF">2026-03-15T20:25:24Z</dcterms:modified>
</cp:coreProperties>
</file>